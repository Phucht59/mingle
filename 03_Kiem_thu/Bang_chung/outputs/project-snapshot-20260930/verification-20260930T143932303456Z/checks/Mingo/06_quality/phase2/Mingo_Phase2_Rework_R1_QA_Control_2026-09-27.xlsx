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c9f5bfdec44a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ce4bc1e0550f4217"/>
    <x:sheet xmlns:r="http://schemas.openxmlformats.org/officeDocument/2006/relationships" name="01_Screen_Inventory" sheetId="2" r:id="R42ad9403907a4d4c"/>
    <x:sheet xmlns:r="http://schemas.openxmlformats.org/officeDocument/2006/relationships" name="02_State_Catalog" sheetId="3" r:id="R0f167c9417384fb6"/>
    <x:sheet xmlns:r="http://schemas.openxmlformats.org/officeDocument/2006/relationships" name="03_PRD_Traceability" sheetId="4" r:id="R7481b97695794d54"/>
    <x:sheet xmlns:r="http://schemas.openxmlformats.org/officeDocument/2006/relationships" name="04_QA_Test_Cases" sheetId="5" r:id="Rd88d20ef9f20495a"/>
    <x:sheet xmlns:r="http://schemas.openxmlformats.org/officeDocument/2006/relationships" name="05_QC_Checklist" sheetId="6" r:id="R04758ec6f1bc4649"/>
    <x:sheet xmlns:r="http://schemas.openxmlformats.org/officeDocument/2006/relationships" name="06_Defect_Log" sheetId="7" r:id="Rdffad48ed1404fc5"/>
    <x:sheet xmlns:r="http://schemas.openxmlformats.org/officeDocument/2006/relationships" name="07_Test_Run" sheetId="8" r:id="Rdd629e2baa334aff"/>
    <x:sheet xmlns:r="http://schemas.openxmlformats.org/officeDocument/2006/relationships" name="08_Signoff" sheetId="9" r:id="R5405fb00bc34448b"/>
    <x:sheet xmlns:r="http://schemas.openxmlformats.org/officeDocument/2006/relationships" name="09_Lists" sheetId="10" r:id="R10348a90e3544d7b"/>
    <x:sheet xmlns:r="http://schemas.openxmlformats.org/officeDocument/2006/relationships" name="10_Independent_Audit" sheetId="11" r:id="R20c128f126ca41d1"/>
    <x:sheet xmlns:r="http://schemas.openxmlformats.org/officeDocument/2006/relationships" name="11_Rework_R1" sheetId="12" r:id="Rb60535aadf5c425a"/>
    <x:sheet xmlns:r="http://schemas.openxmlformats.org/officeDocument/2006/relationships" name="12_Codex_Execution" sheetId="13" r:id="Rccf511c4d6e74c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1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0F172A"/>
      <x:name val="Carlito"/>
    </x:font>
    <x:font>
      <x:b/>
      <x:sz val="11"/>
      <x:color rgb="FFFFFFFF"/>
      <x:name val="Carlito"/>
    </x:font>
    <x:font>
      <x:b/>
      <x:sz val="11"/>
      <x:color rgb="FF3046C5"/>
      <x:name val="Carlito"/>
    </x:font>
    <x:font>
      <x:b/>
      <x:sz val="11"/>
      <x:color rgb="FFB91C1C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0"/>
      <x:color rgb="FF3046C5"/>
      <x:name val="Carlito"/>
    </x:font>
    <x:font>
      <x:b/>
      <x:sz val="10"/>
      <x:color rgb="FFB91C1C"/>
      <x:name val="Carlito"/>
    </x:font>
    <x:font>
      <x:sz val="16"/>
      <x:name val="Carlito"/>
    </x:font>
    <x:font>
      <x:b/>
      <x:sz val="16"/>
      <x:name val="Carlito"/>
    </x:font>
    <x:font>
      <x:b/>
      <x:sz val="11"/>
      <x:color rgb="FF1E3A8A"/>
      <x:name val="Carlito"/>
    </x:font>
    <x:font>
      <x:b/>
      <x:sz val="11"/>
      <x:color rgb="FF991B1B"/>
      <x:name val="Carlito"/>
    </x:font>
    <x:font>
      <x:i/>
      <x:sz val="11"/>
      <x:color rgb="FF0F172A"/>
      <x:name val="Carlito"/>
    </x:font>
    <x:font>
      <x:i/>
      <x:sz val="11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1E293B"/>
      </x:patternFill>
    </x:fill>
    <x:fill>
      <x:patternFill patternType="solid">
        <x:fgColor rgb="FFE8ECFF"/>
      </x:patternFill>
    </x:fill>
    <x:fill>
      <x:patternFill patternType="solid">
        <x:fgColor rgb="FFFEE2E2"/>
      </x:patternFill>
    </x:fill>
    <x:fill>
      <x:patternFill patternType="solid">
        <x:fgColor rgb="FF0F172A"/>
      </x:patternFill>
    </x:fill>
    <x:fill>
      <x:patternFill patternType="solid">
        <x:fgColor rgb="FFE8ECFF"/>
      </x:patternFill>
    </x:fill>
    <x:fill>
      <x:patternFill patternType="solid">
        <x:fgColor rgb="FFFEE2E2"/>
      </x:patternFill>
    </x:fill>
    <x:fill>
      <x:patternFill patternType="solid">
        <x:fgColor rgb="FF0F172A"/>
      </x:patternFill>
    </x:fill>
    <x:fill>
      <x:patternFill patternType="solid">
        <x:fgColor rgb="FFE8ECFF"/>
      </x:patternFill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1E293B"/>
      </x:patternFill>
    </x:fill>
  </x:fills>
  <x:borders count="2">
    <x:border/>
    <x:border/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vertical="top" wrapText="1"/>
    </x:xf>
    <x:xf numFmtId="0" fontId="9" fillId="6" borderId="0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vertical="top" wrapText="1"/>
    </x:xf>
    <x:xf numFmtId="0" fontId="8" fillId="5" borderId="1" xfId="0" applyNumberFormat="1" applyFont="1" applyFill="1" applyBorder="1" applyAlignment="1">
      <x:alignment vertical="top" wrapText="1"/>
    </x:xf>
    <x:xf numFmtId="0" fontId="9" fillId="6" borderId="1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0" fontId="11" fillId="0" borderId="0" xfId="0" applyNumberFormat="1" applyFont="1" applyFill="1" applyBorder="1"/>
    <x:xf numFmtId="0" fontId="11" fillId="0" borderId="1" xfId="0" applyNumberFormat="1" applyFont="1" applyFill="1" applyBorder="1"/>
    <x:xf numFmtId="200" fontId="7" fillId="0" borderId="0" xfId="0" applyNumberFormat="1" applyFont="1" applyFill="1" applyBorder="1" applyAlignment="1">
      <x:alignment vertical="top" wrapText="1"/>
    </x:xf>
    <x:xf numFmtId="200" fontId="7" fillId="0" borderId="0" xfId="0" applyNumberFormat="1" applyFont="1" applyFill="1" applyBorder="1"/>
    <x:xf numFmtId="200" fontId="7" fillId="0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/>
    <x:xf numFmtId="201" fontId="7" fillId="0" borderId="0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 vertical="center" wrapText="1"/>
    </x:xf>
    <x:xf numFmtId="0" fontId="12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13" fillId="9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2" fillId="5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12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12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0" fillId="13" borderId="0" xfId="0" applyNumberFormat="1" applyFont="1" applyFill="1" applyBorder="1"/>
    <x:xf numFmtId="0" fontId="14" fillId="13" borderId="0" xfId="0" applyNumberFormat="1" applyFont="1" applyFill="1" applyBorder="1"/>
    <x:xf numFmtId="0" fontId="14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wrapText="1"/>
    </x:xf>
    <x:xf numFmtId="0" fontId="3" fillId="14" borderId="0" xfId="0" applyNumberFormat="1" applyFont="1" applyFill="1" applyBorder="1" applyAlignment="1">
      <x:alignment horizontal="center" wrapText="1"/>
    </x:xf>
    <x:xf numFmtId="0" fontId="3" fillId="14" borderId="0" xfId="0" applyNumberFormat="1" applyFont="1" applyFill="1" applyBorder="1" applyAlignment="1">
      <x:alignment horizontal="center" vertical="center" wrapText="1"/>
    </x:xf>
    <x:xf numFmtId="0" fontId="15" fillId="13" borderId="0" xfId="0" applyNumberFormat="1" applyFont="1" applyFill="1" applyBorder="1"/>
    <x:xf numFmtId="0" fontId="15" fillId="13" borderId="0" xfId="0" applyNumberFormat="1" applyFont="1" applyFill="1" applyBorder="1" applyAlignment="1">
      <x:alignment wrapText="1"/>
    </x:xf>
  </x:cellXfs>
  <x:cellStyles count="1">
    <x:cellStyle name="Normal" xfId="0"/>
  </x:cellStyles>
  <x:dxfs count="74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3046C5"/>
      </x:font>
      <x:fill>
        <x:patternFill>
          <x:bgColor rgb="FFE8ECFF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3046C5"/>
      </x:font>
      <x:fill>
        <x:patternFill>
          <x:bgColor rgb="FFE8ECFF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3046C5"/>
      </x:font>
      <x:fill>
        <x:patternFill>
          <x:bgColor rgb="FFE8ECFF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3046C5"/>
      </x:font>
      <x:fill>
        <x:patternFill>
          <x:bgColor rgb="FFE8ECFF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3046C5"/>
      </x:font>
      <x:fill>
        <x:patternFill>
          <x:bgColor rgb="FFE8ECFF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3046C5"/>
      </x:font>
      <x:fill>
        <x:patternFill>
          <x:bgColor rgb="FFE8ECFF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5750e0462d47ba" /><Relationship Type="http://schemas.openxmlformats.org/officeDocument/2006/relationships/theme" Target="/xl/theme/theme1.xml" Id="Rc217c85accf84123" /><Relationship Type="http://schemas.openxmlformats.org/officeDocument/2006/relationships/sharedStrings" Target="/xl/sharedStrings.xml" Id="R8166ef838cfe4a99" /><Relationship Type="http://schemas.openxmlformats.org/officeDocument/2006/relationships/worksheet" Target="/xl/worksheets/sheet1.xml" Id="Rce4bc1e0550f4217" /><Relationship Type="http://schemas.openxmlformats.org/officeDocument/2006/relationships/worksheet" Target="/xl/worksheets/sheet2.xml" Id="R42ad9403907a4d4c" /><Relationship Type="http://schemas.openxmlformats.org/officeDocument/2006/relationships/worksheet" Target="/xl/worksheets/sheet3.xml" Id="R0f167c9417384fb6" /><Relationship Type="http://schemas.openxmlformats.org/officeDocument/2006/relationships/worksheet" Target="/xl/worksheets/sheet4.xml" Id="R7481b97695794d54" /><Relationship Type="http://schemas.openxmlformats.org/officeDocument/2006/relationships/worksheet" Target="/xl/worksheets/sheet5.xml" Id="Rd88d20ef9f20495a" /><Relationship Type="http://schemas.openxmlformats.org/officeDocument/2006/relationships/worksheet" Target="/xl/worksheets/sheet6.xml" Id="R04758ec6f1bc4649" /><Relationship Type="http://schemas.openxmlformats.org/officeDocument/2006/relationships/worksheet" Target="/xl/worksheets/sheet7.xml" Id="Rdffad48ed1404fc5" /><Relationship Type="http://schemas.openxmlformats.org/officeDocument/2006/relationships/worksheet" Target="/xl/worksheets/sheet8.xml" Id="Rdd629e2baa334aff" /><Relationship Type="http://schemas.openxmlformats.org/officeDocument/2006/relationships/worksheet" Target="/xl/worksheets/sheet9.xml" Id="R5405fb00bc34448b" /><Relationship Type="http://schemas.openxmlformats.org/officeDocument/2006/relationships/worksheet" Target="/xl/worksheets/sheet10.xml" Id="R10348a90e3544d7b" /><Relationship Type="http://schemas.openxmlformats.org/officeDocument/2006/relationships/worksheet" Target="/xl/worksheets/sheet11.xml" Id="R20c128f126ca41d1" /><Relationship Type="http://schemas.openxmlformats.org/officeDocument/2006/relationships/worksheet" Target="/xl/worksheets/sheet12.xml" Id="Rb60535aadf5c425a" /><Relationship Type="http://schemas.openxmlformats.org/officeDocument/2006/relationships/worksheet" Target="/xl/worksheets/sheet13.xml" Id="Rccf511c4d6e74c20" /></Relationships>
</file>

<file path=xl/tables/table1.xml><?xml version="1.0" encoding="utf-8"?>
<x:table xmlns:x="http://schemas.openxmlformats.org/spreadsheetml/2006/main" id="1" name="ScreenInventoryTable" displayName="ScreenInventoryTable" ref="A4:J61" headerRowCount="1" totalsRowCount="0" totalsRowShown="0">
  <x:tableColumns count="10">
    <x:tableColumn id="1" name="Screen ID"/>
    <x:tableColumn id="2" name="Surface"/>
    <x:tableColumn id="3" name="Area"/>
    <x:tableColumn id="4" name="Name"/>
    <x:tableColumn id="5" name="Route"/>
    <x:tableColumn id="6" name="Purpose"/>
    <x:tableColumn id="7" name="Entry"/>
    <x:tableColumn id="8" name="Actions"/>
    <x:tableColumn id="9" name="Required states"/>
    <x:tableColumn id="10" name="Critical rul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teCatalogTable" displayName="StateCatalogTable" ref="A4:D22" headerRowCount="1" totalsRowCount="0" totalsRowShown="0">
  <x:tableColumns count="4">
    <x:tableColumn id="1" name="Component ID"/>
    <x:tableColumn id="2" name="Component"/>
    <x:tableColumn id="3" name="Required states"/>
    <x:tableColumn id="4" name="Invariant / UX ru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DTraceTable" displayName="PRDTraceTable" ref="A4:E20" headerRowCount="1" totalsRowCount="0" totalsRowShown="0">
  <x:tableColumns count="5">
    <x:tableColumn id="1" name="PRD"/>
    <x:tableColumn id="2" name="Requirement"/>
    <x:tableColumn id="3" name="Screens"/>
    <x:tableColumn id="4" name="Components"/>
    <x:tableColumn id="5" name="QA cas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ATestCasesTable" displayName="QATestCasesTable" ref="A4:N91" headerRowCount="1" totalsRowCount="0" totalsRowShown="0">
  <x:tableColumns count="14">
    <x:tableColumn id="1" name="Test ID"/>
    <x:tableColumn id="2" name="Type"/>
    <x:tableColumn id="3" name="Area"/>
    <x:tableColumn id="4" name="Priority"/>
    <x:tableColumn id="5" name="Requirement"/>
    <x:tableColumn id="6" name="Title"/>
    <x:tableColumn id="7" name="Precondition"/>
    <x:tableColumn id="8" name="Steps"/>
    <x:tableColumn id="9" name="Expected"/>
    <x:tableColumn id="10" name="Owner"/>
    <x:tableColumn id="11" name="Status"/>
    <x:tableColumn id="12" name="Evidence"/>
    <x:tableColumn id="13" name="Defect"/>
    <x:tableColumn id="14" name="Retest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ac0535a5b54c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5d5712146442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0ee4fb728da4f1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062b5cd6d9245d9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4" max="4" width="26" hidden="0" customWidth="1"/>
    <x:col min="5" max="5" width="16" hidden="0" customWidth="1"/>
    <x:col min="7" max="7" width="34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8" customHeight="1">
      <x:c r="A1" s="4" t="str">
        <x:v>MINGO — PHASE 2 UX/UI QA CONTROL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Codex execution: 94/94 PASS (44/44 P0). Screen-reader session BLOCKED. Independent QC/QA and signoffs pending.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Candidate KPI</x:v>
      </x:c>
      <x:c r="B4" s="46" t="str">
        <x:v>Value</x:v>
      </x:c>
      <x:c r="C4" s="45"/>
      <x:c r="D4" s="46" t="str">
        <x:v>Live test metric</x:v>
      </x:c>
      <x:c r="E4" s="46" t="str">
        <x:v>Value</x:v>
      </x:c>
      <x:c r="F4" s="45"/>
      <x:c r="G4" s="46" t="str">
        <x:v>Exit criterion</x:v>
      </x:c>
      <x:c r="H4" s="46" t="str">
        <x:v>Required</x:v>
      </x:c>
      <x:c r="I4" s="46" t="str">
        <x:v>Current</x:v>
      </x:c>
      <x:c r="J4" s="46" t="str">
        <x:v>Owner</x:v>
      </x:c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Phase status</x:v>
      </x:c>
      <x:c r="B5" s="48" t="str">
        <x:v>ACTIVE — QA RETEST CANDIDATE</x:v>
      </x:c>
      <x:c r="C5" s="45"/>
      <x:c r="D5" s="47" t="str">
        <x:v>Total cases</x:v>
      </x:c>
      <x:c r="E5" s="47" t="n">
        <x:f>COUNTA('04_QA_Test_Cases'!A5:A250)</x:f>
        <x:v>94</x:v>
      </x:c>
      <x:c r="F5" s="45"/>
      <x:c r="G5" s="47" t="str">
        <x:v>All P0 test cases pass</x:v>
      </x:c>
      <x:c r="H5" s="47" t="str">
        <x:v>100%</x:v>
      </x:c>
      <x:c r="I5" s="47" t="str">
        <x:v>44/44 Codex</x:v>
      </x:c>
      <x:c r="J5" s="47" t="str">
        <x:v>QA</x:v>
      </x:c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 t="str">
        <x:v>Gate</x:v>
      </x:c>
      <x:c r="B6" s="49" t="str">
        <x:v>NOT PASSED</x:v>
      </x:c>
      <x:c r="C6" s="45"/>
      <x:c r="D6" s="47" t="str">
        <x:v>P0 cases</x:v>
      </x:c>
      <x:c r="E6" s="47" t="n">
        <x:f>COUNTIF('04_QA_Test_Cases'!D5:D250,"P0")</x:f>
        <x:v>44</x:v>
      </x:c>
      <x:c r="F6" s="45"/>
      <x:c r="G6" s="47" t="str">
        <x:v>All P0/P1 defects closed</x:v>
      </x:c>
      <x:c r="H6" s="47" t="str">
        <x:v>0 open</x:v>
      </x:c>
      <x:c r="I6" s="47" t="str">
        <x:v>PENDING</x:v>
      </x:c>
      <x:c r="J6" s="47" t="str">
        <x:v>QA/Tech</x:v>
      </x:c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 t="str">
        <x:v>Screens</x:v>
      </x:c>
      <x:c r="B7" s="47" t="n">
        <x:v>57</x:v>
      </x:c>
      <x:c r="C7" s="45"/>
      <x:c r="D7" s="47" t="str">
        <x:v>PASS</x:v>
      </x:c>
      <x:c r="E7" s="47" t="n">
        <x:f>COUNTIF('04_QA_Test_Cases'!K5:K250,"PASS")</x:f>
        <x:v>94</x:v>
      </x:c>
      <x:c r="F7" s="45"/>
      <x:c r="G7" s="47" t="str">
        <x:v>Overall executed pass rate</x:v>
      </x:c>
      <x:c r="H7" s="47" t="str">
        <x:v>≥95%</x:v>
      </x:c>
      <x:c r="I7" s="47" t="str">
        <x:v>100% Codex</x:v>
      </x:c>
      <x:c r="J7" s="47" t="str">
        <x:v>QA</x:v>
      </x:c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 t="str">
        <x:v>Shared components</x:v>
      </x:c>
      <x:c r="B8" s="47" t="n">
        <x:v>18</x:v>
      </x:c>
      <x:c r="C8" s="45"/>
      <x:c r="D8" s="47" t="str">
        <x:v>FAIL</x:v>
      </x:c>
      <x:c r="E8" s="47" t="n">
        <x:f>COUNTIF('04_QA_Test_Cases'!K5:K250,"FAIL")</x:f>
        <x:v>0</x:v>
      </x:c>
      <x:c r="F8" s="45"/>
      <x:c r="G8" s="47" t="str">
        <x:v>PRD traceability</x:v>
      </x:c>
      <x:c r="H8" s="47" t="str">
        <x:v>16/16</x:v>
      </x:c>
      <x:c r="I8" s="47" t="str">
        <x:v>READY</x:v>
      </x:c>
      <x:c r="J8" s="47" t="str">
        <x:v>QC</x:v>
      </x:c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7" t="str">
        <x:v>PRD traceability</x:v>
      </x:c>
      <x:c r="B9" s="47" t="n">
        <x:v>16</x:v>
      </x:c>
      <x:c r="C9" s="45"/>
      <x:c r="D9" s="47" t="str">
        <x:v>BLOCKED</x:v>
      </x:c>
      <x:c r="E9" s="47" t="n">
        <x:f>COUNTIF('04_QA_Test_Cases'!K5:K250,"BLOCKED")</x:f>
        <x:v>0</x:v>
      </x:c>
      <x:c r="F9" s="45"/>
      <x:c r="G9" s="47" t="str">
        <x:v>Accessibility mandatory checks</x:v>
      </x:c>
      <x:c r="H9" s="47" t="str">
        <x:v>PASS</x:v>
      </x:c>
      <x:c r="I9" s="47" t="str">
        <x:v>SR BLOCKED</x:v>
      </x:c>
      <x:c r="J9" s="47" t="str">
        <x:v>QA</x:v>
      </x:c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7" t="str">
        <x:v>Prepared QC/QA cases</x:v>
      </x:c>
      <x:c r="B10" s="47" t="n">
        <x:v>94</x:v>
      </x:c>
      <x:c r="C10" s="45"/>
      <x:c r="D10" s="47" t="str">
        <x:v>NOT RUN</x:v>
      </x:c>
      <x:c r="E10" s="47" t="n">
        <x:f>COUNTIF('04_QA_Test_Cases'!K5:K250,"NOT RUN")</x:f>
        <x:v>0</x:v>
      </x:c>
      <x:c r="F10" s="45"/>
      <x:c r="G10" s="47" t="str">
        <x:v>Developer handoff</x:v>
      </x:c>
      <x:c r="H10" s="47" t="str">
        <x:v>ACCEPTED</x:v>
      </x:c>
      <x:c r="I10" s="47" t="str">
        <x:v>PENDING</x:v>
      </x:c>
      <x:c r="J10" s="47" t="str">
        <x:v>Tech Lead</x:v>
      </x:c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7" t="str">
        <x:v>Architecture baseline</x:v>
      </x:c>
      <x:c r="B11" s="47" t="str">
        <x:v>V3.2.0 — unchanged</x:v>
      </x:c>
      <x:c r="C11" s="45"/>
      <x:c r="D11" s="47" t="str">
        <x:v>Open P0/P1 defects</x:v>
      </x:c>
      <x:c r="E11" s="47" t="n">
        <x:f>COUNTIFS('06_Defect_Log'!F5:F200,"&lt;&gt;CLOSED",'06_Defect_Log'!E5:E200,"P0")+COUNTIFS('06_Defect_Log'!F5:F200,"&lt;&gt;CLOSED",'06_Defect_Log'!E5:E200,"P1")</x:f>
        <x:v>18</x:v>
      </x:c>
      <x:c r="F11" s="45"/>
      <x:c r="G11" s="47" t="str">
        <x:v>Product/Owner signoff</x:v>
      </x:c>
      <x:c r="H11" s="47" t="str">
        <x:v>SIGNED</x:v>
      </x:c>
      <x:c r="I11" s="47" t="str">
        <x:v>PENDING</x:v>
      </x:c>
      <x:c r="J11" s="47" t="str">
        <x:v>Owner/Product</x:v>
      </x:c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7" t="str">
        <x:v>Phase 3</x:v>
      </x:c>
      <x:c r="B12" s="47" t="str">
        <x:v>DEFERRED</x:v>
      </x:c>
      <x:c r="C12" s="45"/>
      <x:c r="D12" s="45"/>
      <x:c r="E12" s="45"/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77" t="str">
        <x:v>Independent audit</x:v>
      </x:c>
      <x:c r="B14" s="77" t="str">
        <x:v>Candidate v1 rejected 2026-09-27; original findings preserved in 10_Independent_Audit and audits folder.</x:v>
      </x:c>
      <x:c r="C14" s="77" t="str"/>
      <x:c r="D14" s="77" t="str"/>
      <x:c r="E14" s="77" t="str"/>
      <x:c r="F14" s="77" t="str"/>
      <x:c r="G14" s="77" t="str"/>
      <x:c r="H14" s="77" t="str"/>
      <x:c r="I14" s="77" t="str"/>
      <x:c r="J14" s="77" t="str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77" t="str">
        <x:v>Gate decision</x:v>
      </x:c>
      <x:c r="B15" s="77" t="str">
        <x:v>NOT PASSED — INDEPENDENT RETEST REQUIRED</x:v>
      </x:c>
      <x:c r="C15" s="77" t="str"/>
      <x:c r="D15" s="77" t="str"/>
      <x:c r="E15" s="77" t="str"/>
      <x:c r="F15" s="77" t="str"/>
      <x:c r="G15" s="77" t="str"/>
      <x:c r="H15" s="77" t="str"/>
      <x:c r="I15" s="77" t="str"/>
      <x:c r="J15" s="77" t="str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N1"/>
    <x:mergeCell ref="A2:N2"/>
  </x:mergeCells>
  <x:conditionalFormatting sqref="I5:I11">
    <x:cfRule type="expression" dxfId="0" priority="1">
      <x:formula>$I5="PASS"</x:formula>
    </x:cfRule>
    <x:cfRule type="expression" dxfId="1" priority="2">
      <x:formula>$I5="DONE"</x:formula>
    </x:cfRule>
    <x:cfRule type="expression" dxfId="2" priority="3">
      <x:formula>$I5="SIGNED"</x:formula>
    </x:cfRule>
    <x:cfRule type="expression" dxfId="3" priority="4">
      <x:formula>$I5="ACCEPTED"</x:formula>
    </x:cfRule>
    <x:cfRule type="expression" dxfId="4" priority="5">
      <x:formula>$I5="FAIL"</x:formula>
    </x:cfRule>
    <x:cfRule type="expression" dxfId="5" priority="6">
      <x:formula>$I5="BLOCKED"</x:formula>
    </x:cfRule>
    <x:cfRule type="expression" dxfId="6" priority="7">
      <x:formula>$I5="NOT PASSED"</x:formula>
    </x:cfRule>
    <x:cfRule type="expression" dxfId="7" priority="8">
      <x:formula>$I5="NOT RUN"</x:formula>
    </x:cfRule>
    <x:cfRule type="expression" dxfId="8" priority="9">
      <x:formula>$I5="PENDING"</x:formula>
    </x:cfRule>
    <x:cfRule type="expression" dxfId="9" priority="10">
      <x:formula>$I5="IN PROGRESS"</x:formula>
    </x:cfRule>
    <x:cfRule type="expression" dxfId="10" priority="11">
      <x:formula>$I5="READY"</x:formula>
    </x:cfRule>
    <x:cfRule type="expression" dxfId="11" priority="12">
      <x:formula>$I5="DEFERRED"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28" hidden="0" customWidth="1"/>
    <x:col min="5" max="5" width="32" hidden="0" customWidth="1"/>
    <x:col min="6" max="6" width="52" hidden="0" customWidth="1"/>
    <x:col min="7" max="7" width="30" hidden="0" customWidth="1"/>
    <x:col min="8" max="8" width="42" hidden="0" customWidth="1"/>
    <x:col min="9" max="9" width="42" hidden="0" customWidth="1"/>
    <x:col min="10" max="10" width="58" hidden="0" customWidth="1"/>
  </x:cols>
  <x:sheetData>
    <x:row r="1" ht="28" customHeight="1">
      <x:c r="A1" s="4" t="str">
        <x:v>PHASE 2 SCREEN INVENTORY</x:v>
      </x:c>
      <x:c r="B1" s="4"/>
      <x:c r="C1" s="4"/>
      <x:c r="D1" s="4"/>
      <x:c r="E1" s="4"/>
      <x:c r="F1" s="4"/>
      <x:c r="G1" s="4"/>
      <x:c r="H1" s="4"/>
      <x:c r="I1" s="4"/>
      <x:c r="J1" s="4"/>
      <x:c r="K1" s="58"/>
      <x:c r="L1" s="58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Canonical screen IDs/routes for learner and staff.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Screen ID</x:v>
      </x:c>
      <x:c r="B4" s="46" t="str">
        <x:v>Surface</x:v>
      </x:c>
      <x:c r="C4" s="46" t="str">
        <x:v>Area</x:v>
      </x:c>
      <x:c r="D4" s="46" t="str">
        <x:v>Name</x:v>
      </x:c>
      <x:c r="E4" s="46" t="str">
        <x:v>Route</x:v>
      </x:c>
      <x:c r="F4" s="46" t="str">
        <x:v>Purpose</x:v>
      </x:c>
      <x:c r="G4" s="46" t="str">
        <x:v>Entry</x:v>
      </x:c>
      <x:c r="H4" s="46" t="str">
        <x:v>Actions</x:v>
      </x:c>
      <x:c r="I4" s="46" t="str">
        <x:v>Required states</x:v>
      </x:c>
      <x:c r="J4" s="46" t="str">
        <x:v>Critical rules</x:v>
      </x:c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L-001</x:v>
      </x:c>
      <x:c r="B5" s="47" t="str">
        <x:v>Learner</x:v>
      </x:c>
      <x:c r="C5" s="47" t="str">
        <x:v>Entry</x:v>
      </x:c>
      <x:c r="D5" s="47" t="str">
        <x:v>Launch</x:v>
      </x:c>
      <x:c r="E5" s="47" t="str">
        <x:v>/launch</x:v>
      </x:c>
      <x:c r="F5" s="47" t="str">
        <x:v>App launch and bootstrap handoff</x:v>
      </x:c>
      <x:c r="G5" s="47" t="str">
        <x:v>App start</x:v>
      </x:c>
      <x:c r="H5" s="47" t="str">
        <x:v>Continue automatically</x:v>
      </x:c>
      <x:c r="I5" s="47" t="str">
        <x:v>Loading, error, offline bootstrap</x:v>
      </x:c>
      <x:c r="J5" s="47" t="str">
        <x:v>No business decision performed here</x:v>
      </x:c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 t="str">
        <x:v>L-002</x:v>
      </x:c>
      <x:c r="B6" s="47" t="str">
        <x:v>Learner</x:v>
      </x:c>
      <x:c r="C6" s="47" t="str">
        <x:v>Onboarding</x:v>
      </x:c>
      <x:c r="D6" s="47" t="str">
        <x:v>Welcome</x:v>
      </x:c>
      <x:c r="E6" s="47" t="str">
        <x:v>/welcome</x:v>
      </x:c>
      <x:c r="F6" s="47" t="str">
        <x:v>Explain Mingo promise and let learner start</x:v>
      </x:c>
      <x:c r="G6" s="47" t="str">
        <x:v>First use</x:v>
      </x:c>
      <x:c r="H6" s="47" t="str">
        <x:v>Start learning</x:v>
      </x:c>
      <x:c r="I6" s="47" t="str">
        <x:v>Default, loading</x:v>
      </x:c>
      <x:c r="J6" s="47" t="str">
        <x:v>No efficacy/mastery claim</x:v>
      </x:c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 t="str">
        <x:v>L-003</x:v>
      </x:c>
      <x:c r="B7" s="47" t="str">
        <x:v>Learner</x:v>
      </x:c>
      <x:c r="C7" s="47" t="str">
        <x:v>Onboarding</x:v>
      </x:c>
      <x:c r="D7" s="47" t="str">
        <x:v>Goal</x:v>
      </x:c>
      <x:c r="E7" s="47" t="str">
        <x:v>/onboarding/goal</x:v>
      </x:c>
      <x:c r="F7" s="47" t="str">
        <x:v>Optional learner goal selection</x:v>
      </x:c>
      <x:c r="G7" s="47" t="str">
        <x:v>Welcome</x:v>
      </x:c>
      <x:c r="H7" s="47" t="str">
        <x:v>Continue / Skip for now</x:v>
      </x:c>
      <x:c r="I7" s="47" t="str">
        <x:v>Default, selected, error</x:v>
      </x:c>
      <x:c r="J7" s="47" t="str">
        <x:v>Goal cannot rewrite measured skill</x:v>
      </x:c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 t="str">
        <x:v>L-004</x:v>
      </x:c>
      <x:c r="B8" s="47" t="str">
        <x:v>Learner</x:v>
      </x:c>
      <x:c r="C8" s="47" t="str">
        <x:v>Onboarding</x:v>
      </x:c>
      <x:c r="D8" s="47" t="str">
        <x:v>Placement Offer</x:v>
      </x:c>
      <x:c r="E8" s="47" t="str">
        <x:v>/onboarding/placement</x:v>
      </x:c>
      <x:c r="F8" s="47" t="str">
        <x:v>Offer short optional placement</x:v>
      </x:c>
      <x:c r="G8" s="47" t="str">
        <x:v>Goal</x:v>
      </x:c>
      <x:c r="H8" s="47" t="str">
        <x:v>Take placement / Start without it</x:v>
      </x:c>
      <x:c r="I8" s="47" t="str">
        <x:v>Default, unavailable</x:v>
      </x:c>
      <x:c r="J8" s="47" t="str">
        <x:v>Placement optional; missing evidence allowed</x:v>
      </x:c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7" t="str">
        <x:v>L-005</x:v>
      </x:c>
      <x:c r="B9" s="47" t="str">
        <x:v>Learner</x:v>
      </x:c>
      <x:c r="C9" s="47" t="str">
        <x:v>Onboarding</x:v>
      </x:c>
      <x:c r="D9" s="47" t="str">
        <x:v>Placement Question</x:v>
      </x:c>
      <x:c r="E9" s="47" t="str">
        <x:v>/placement/:step</x:v>
      </x:c>
      <x:c r="F9" s="47" t="str">
        <x:v>Run provisional Vocabulary/Grammar/Listening item</x:v>
      </x:c>
      <x:c r="G9" s="47" t="str">
        <x:v>Placement offer</x:v>
      </x:c>
      <x:c r="H9" s="47" t="str">
        <x:v>Submit / Skip domain where allowed</x:v>
      </x:c>
      <x:c r="I9" s="47" t="str">
        <x:v>Ready, selected, submitting, feedback, audio unavailable</x:v>
      </x:c>
      <x:c r="J9" s="47" t="str">
        <x:v>No certified CEFR claim; server authoritative later</x:v>
      </x:c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7" t="str">
        <x:v>L-006</x:v>
      </x:c>
      <x:c r="B10" s="47" t="str">
        <x:v>Learner</x:v>
      </x:c>
      <x:c r="C10" s="47" t="str">
        <x:v>Onboarding</x:v>
      </x:c>
      <x:c r="D10" s="47" t="str">
        <x:v>Placement Result</x:v>
      </x:c>
      <x:c r="E10" s="47" t="str">
        <x:v>/placement/result</x:v>
      </x:c>
      <x:c r="F10" s="47" t="str">
        <x:v>Show provisional starting state and uncertainty</x:v>
      </x:c>
      <x:c r="G10" s="47" t="str">
        <x:v>Placement finish</x:v>
      </x:c>
      <x:c r="H10" s="47" t="str">
        <x:v>Go to Home</x:v>
      </x:c>
      <x:c r="I10" s="47" t="str">
        <x:v>Complete, insufficient-evidence</x:v>
      </x:c>
      <x:c r="J10" s="47" t="str">
        <x:v>Qualitative/provisional language only</x:v>
      </x:c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7" t="str">
        <x:v>L-010</x:v>
      </x:c>
      <x:c r="B11" s="47" t="str">
        <x:v>Learner</x:v>
      </x:c>
      <x:c r="C11" s="47" t="str">
        <x:v>Main</x:v>
      </x:c>
      <x:c r="D11" s="47" t="str">
        <x:v>Home</x:v>
      </x:c>
      <x:c r="E11" s="47" t="str">
        <x:v>/home</x:v>
      </x:c>
      <x:c r="F11" s="47" t="str">
        <x:v>Answer what to do next and why</x:v>
      </x:c>
      <x:c r="G11" s="47" t="str">
        <x:v>Main shell</x:v>
      </x:c>
      <x:c r="H11" s="47" t="str">
        <x:v>Start/resume cycle</x:v>
      </x:c>
      <x:c r="I11" s="47" t="str">
        <x:v>Online, offline, syncing, nothing-due, recommendation-unavailable</x:v>
      </x:c>
      <x:c r="J11" s="47" t="str">
        <x:v>Reason copy must match logged reason; no risk/mastery percentage</x:v>
      </x:c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7" t="str">
        <x:v>L-011</x:v>
      </x:c>
      <x:c r="B12" s="47" t="str">
        <x:v>Learner</x:v>
      </x:c>
      <x:c r="C12" s="47" t="str">
        <x:v>System</x:v>
      </x:c>
      <x:c r="D12" s="47" t="str">
        <x:v>Home Offline</x:v>
      </x:c>
      <x:c r="E12" s="47" t="str">
        <x:v>/home?offline=1</x:v>
      </x:c>
      <x:c r="F12" s="47" t="str">
        <x:v>Home with offline status and device-saved distinction</x:v>
      </x:c>
      <x:c r="G12" s="47" t="str">
        <x:v>Connectivity loss</x:v>
      </x:c>
      <x:c r="H12" s="47" t="str">
        <x:v>Continue available offline work</x:v>
      </x:c>
      <x:c r="I12" s="47" t="str">
        <x:v>Offline, queued</x:v>
      </x:c>
      <x:c r="J12" s="47" t="str">
        <x:v>Queued is not server-confirmed</x:v>
      </x:c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7" t="str">
        <x:v>L-012</x:v>
      </x:c>
      <x:c r="B13" s="47" t="str">
        <x:v>Learner</x:v>
      </x:c>
      <x:c r="C13" s="47" t="str">
        <x:v>System</x:v>
      </x:c>
      <x:c r="D13" s="47" t="str">
        <x:v>Home Syncing</x:v>
      </x:c>
      <x:c r="E13" s="47" t="str">
        <x:v>/home?syncing=1</x:v>
      </x:c>
      <x:c r="F13" s="47" t="str">
        <x:v>Show background synchronization without blocking navigation</x:v>
      </x:c>
      <x:c r="G13" s="47" t="str">
        <x:v>Connectivity restore</x:v>
      </x:c>
      <x:c r="H13" s="47" t="str">
        <x:v>View sync status</x:v>
      </x:c>
      <x:c r="I13" s="47" t="str">
        <x:v>Syncing, partial</x:v>
      </x:c>
      <x:c r="J13" s="47" t="str">
        <x:v>No duplicate progress/reward from retries</x:v>
      </x:c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7" t="str">
        <x:v>L-020</x:v>
      </x:c>
      <x:c r="B14" s="47" t="str">
        <x:v>Learner</x:v>
      </x:c>
      <x:c r="C14" s="47" t="str">
        <x:v>Main</x:v>
      </x:c>
      <x:c r="D14" s="47" t="str">
        <x:v>Learn Hub</x:v>
      </x:c>
      <x:c r="E14" s="47" t="str">
        <x:v>/learn</x:v>
      </x:c>
      <x:c r="F14" s="47" t="str">
        <x:v>Start or resume finite learning cycle</x:v>
      </x:c>
      <x:c r="G14" s="47" t="str">
        <x:v>Learn tab</x:v>
      </x:c>
      <x:c r="H14" s="47" t="str">
        <x:v>Start / Resume</x:v>
      </x:c>
      <x:c r="I14" s="47" t="str">
        <x:v>Ready, resume, content-gap</x:v>
      </x:c>
      <x:c r="J14" s="47" t="str">
        <x:v>No infinite feed</x:v>
      </x:c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7" t="str">
        <x:v>L-021</x:v>
      </x:c>
      <x:c r="B15" s="47" t="str">
        <x:v>Learner</x:v>
      </x:c>
      <x:c r="C15" s="47" t="str">
        <x:v>Learning</x:v>
      </x:c>
      <x:c r="D15" s="47" t="str">
        <x:v>Cycle Intro</x:v>
      </x:c>
      <x:c r="E15" s="47" t="str">
        <x:v>/learn/cycle/intro</x:v>
      </x:c>
      <x:c r="F15" s="47" t="str">
        <x:v>Show objective, reason and approximate duration</x:v>
      </x:c>
      <x:c r="G15" s="47" t="str">
        <x:v>Cycle selected</x:v>
      </x:c>
      <x:c r="H15" s="47" t="str">
        <x:v>Begin cycle</x:v>
      </x:c>
      <x:c r="I15" s="47" t="str">
        <x:v>Ready, offline-capable, content-unavailable</x:v>
      </x:c>
      <x:c r="J15" s="47" t="str">
        <x:v>~5 min is configurable hypothesis; objective/reason explicit</x:v>
      </x:c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7" t="str">
        <x:v>L-022</x:v>
      </x:c>
      <x:c r="B16" s="47" t="str">
        <x:v>Learner</x:v>
      </x:c>
      <x:c r="C16" s="47" t="str">
        <x:v>Learning</x:v>
      </x:c>
      <x:c r="D16" s="47" t="str">
        <x:v>Review Item</x:v>
      </x:c>
      <x:c r="E16" s="47" t="str">
        <x:v>/learn/cycle/review</x:v>
      </x:c>
      <x:c r="F16" s="47" t="str">
        <x:v>Due/prerequisite review within bounded cycle</x:v>
      </x:c>
      <x:c r="G16" s="47" t="str">
        <x:v>Cycle start</x:v>
      </x:c>
      <x:c r="H16" s="47" t="str">
        <x:v>Answer / Skip</x:v>
      </x:c>
      <x:c r="I16" s="47" t="str">
        <x:v>Ready, selected, submitting, feedback, skipped</x:v>
      </x:c>
      <x:c r="J16" s="47" t="str">
        <x:v>At most one justified due/prerequisite insertion in default policy hypothesis</x:v>
      </x:c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7" t="str">
        <x:v>L-023</x:v>
      </x:c>
      <x:c r="B17" s="47" t="str">
        <x:v>Learner</x:v>
      </x:c>
      <x:c r="C17" s="47" t="str">
        <x:v>Learning</x:v>
      </x:c>
      <x:c r="D17" s="47" t="str">
        <x:v>Learn Content</x:v>
      </x:c>
      <x:c r="E17" s="47" t="str">
        <x:v>/learn/cycle/learn</x:v>
      </x:c>
      <x:c r="F17" s="47" t="str">
        <x:v>Short explanation/example/audio/context</x:v>
      </x:c>
      <x:c r="G17" s="47" t="str">
        <x:v>Review or cycle start</x:v>
      </x:c>
      <x:c r="H17" s="47" t="str">
        <x:v>Continue</x:v>
      </x:c>
      <x:c r="I17" s="47" t="str">
        <x:v>Ready, audio-loading, audio-unavailable</x:v>
      </x:c>
      <x:c r="J17" s="47" t="str">
        <x:v>Reading explanation alone is not mastery</x:v>
      </x:c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7" t="str">
        <x:v>L-024</x:v>
      </x:c>
      <x:c r="B18" s="47" t="str">
        <x:v>Learner</x:v>
      </x:c>
      <x:c r="C18" s="47" t="str">
        <x:v>Learning</x:v>
      </x:c>
      <x:c r="D18" s="47" t="str">
        <x:v>Retrieve Item</x:v>
      </x:c>
      <x:c r="E18" s="47" t="str">
        <x:v>/learn/cycle/retrieve</x:v>
      </x:c>
      <x:c r="F18" s="47" t="str">
        <x:v>Unaided retrieval attempt</x:v>
      </x:c>
      <x:c r="G18" s="47" t="str">
        <x:v>Learn</x:v>
      </x:c>
      <x:c r="H18" s="47" t="str">
        <x:v>Submit / Hint / Skip</x:v>
      </x:c>
      <x:c r="I18" s="47" t="str">
        <x:v>Ready, hinted, selected, submitting, correct, incorrect, retry</x:v>
      </x:c>
      <x:c r="J18" s="47" t="str">
        <x:v>First response preserved; assisted != unaided</x:v>
      </x:c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7" t="str">
        <x:v>L-025</x:v>
      </x:c>
      <x:c r="B19" s="47" t="str">
        <x:v>Learner</x:v>
      </x:c>
      <x:c r="C19" s="47" t="str">
        <x:v>Learning</x:v>
      </x:c>
      <x:c r="D19" s="47" t="str">
        <x:v>Transfer Item</x:v>
      </x:c>
      <x:c r="E19" s="47" t="str">
        <x:v>/learn/cycle/transfer</x:v>
      </x:c>
      <x:c r="F19" s="47" t="str">
        <x:v>Change cue/context/modality within objective</x:v>
      </x:c>
      <x:c r="G19" s="47" t="str">
        <x:v>Retrieve</x:v>
      </x:c>
      <x:c r="H19" s="47" t="str">
        <x:v>Submit / Skip</x:v>
      </x:c>
      <x:c r="I19" s="47" t="str">
        <x:v>Ready, selected, feedback</x:v>
      </x:c>
      <x:c r="J19" s="47" t="str">
        <x:v>Transfer != challenge; no automatic level change</x:v>
      </x:c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7" t="str">
        <x:v>L-026</x:v>
      </x:c>
      <x:c r="B20" s="47" t="str">
        <x:v>Learner</x:v>
      </x:c>
      <x:c r="C20" s="47" t="str">
        <x:v>Learning</x:v>
      </x:c>
      <x:c r="D20" s="47" t="str">
        <x:v>Check Intro</x:v>
      </x:c>
      <x:c r="E20" s="47" t="str">
        <x:v>/learn/cycle/check-intro</x:v>
      </x:c>
      <x:c r="F20" s="47" t="str">
        <x:v>Explain independent Check context</x:v>
      </x:c>
      <x:c r="G20" s="47" t="str">
        <x:v>Transfer</x:v>
      </x:c>
      <x:c r="H20" s="47" t="str">
        <x:v>Start Check</x:v>
      </x:c>
      <x:c r="I20" s="47" t="str">
        <x:v>Ready</x:v>
      </x:c>
      <x:c r="J20" s="47" t="str">
        <x:v>No pre-submit hint in Check</x:v>
      </x:c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7" t="str">
        <x:v>L-027</x:v>
      </x:c>
      <x:c r="B21" s="47" t="str">
        <x:v>Learner</x:v>
      </x:c>
      <x:c r="C21" s="47" t="str">
        <x:v>Learning</x:v>
      </x:c>
      <x:c r="D21" s="47" t="str">
        <x:v>Check Item</x:v>
      </x:c>
      <x:c r="E21" s="47" t="str">
        <x:v>/learn/cycle/check</x:v>
      </x:c>
      <x:c r="F21" s="47" t="str">
        <x:v>Independent assessment item</x:v>
      </x:c>
      <x:c r="G21" s="47" t="str">
        <x:v>Check intro</x:v>
      </x:c>
      <x:c r="H21" s="47" t="str">
        <x:v>Submit</x:v>
      </x:c>
      <x:c r="I21" s="47" t="str">
        <x:v>Ready, selected, submitting, result, audio-policy</x:v>
      </x:c>
      <x:c r="J21" s="47" t="str">
        <x:v>No hint before submit; listening condition recorded; client replay telemetry not score authority</x:v>
      </x:c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7" t="str">
        <x:v>L-028</x:v>
      </x:c>
      <x:c r="B22" s="47" t="str">
        <x:v>Learner</x:v>
      </x:c>
      <x:c r="C22" s="47" t="str">
        <x:v>Learning</x:v>
      </x:c>
      <x:c r="D22" s="47" t="str">
        <x:v>Correct Feedback</x:v>
      </x:c>
      <x:c r="E22" s="47" t="str">
        <x:v>/learn/feedback/correct</x:v>
      </x:c>
      <x:c r="F22" s="47" t="str">
        <x:v>Give concise explanatory positive feedback</x:v>
      </x:c>
      <x:c r="G22" s="47" t="str">
        <x:v>Correct response</x:v>
      </x:c>
      <x:c r="H22" s="47" t="str">
        <x:v>Continue</x:v>
      </x:c>
      <x:c r="I22" s="47" t="str">
        <x:v>Default</x:v>
      </x:c>
      <x:c r="J22" s="47" t="str">
        <x:v>Reward/copy cannot imply validated mastery from one answer</x:v>
      </x:c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7" t="str">
        <x:v>L-029</x:v>
      </x:c>
      <x:c r="B23" s="47" t="str">
        <x:v>Learner</x:v>
      </x:c>
      <x:c r="C23" s="47" t="str">
        <x:v>Learning</x:v>
      </x:c>
      <x:c r="D23" s="47" t="str">
        <x:v>Incorrect / Retry Feedback</x:v>
      </x:c>
      <x:c r="E23" s="47" t="str">
        <x:v>/learn/feedback/retry</x:v>
      </x:c>
      <x:c r="F23" s="47" t="str">
        <x:v>Explain error and offer practice retry where policy allows</x:v>
      </x:c>
      <x:c r="G23" s="47" t="str">
        <x:v>Wrong practice response</x:v>
      </x:c>
      <x:c r="H23" s="47" t="str">
        <x:v>Try again / Continue</x:v>
      </x:c>
      <x:c r="I23" s="47" t="str">
        <x:v>Retry available, retry used, retry exhausted</x:v>
      </x:c>
      <x:c r="J23" s="47" t="str">
        <x:v>Retry correct never overwrites first wrong</x:v>
      </x:c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7" t="str">
        <x:v>L-030</x:v>
      </x:c>
      <x:c r="B24" s="47" t="str">
        <x:v>Learner</x:v>
      </x:c>
      <x:c r="C24" s="47" t="str">
        <x:v>Overlay</x:v>
      </x:c>
      <x:c r="D24" s="47" t="str">
        <x:v>Hint Panel</x:v>
      </x:c>
      <x:c r="E24" s="47" t="str">
        <x:v>/learn/hint</x:v>
      </x:c>
      <x:c r="F24" s="47" t="str">
        <x:v>Provide typed assistance in practice</x:v>
      </x:c>
      <x:c r="G24" s="47" t="str">
        <x:v>Hint request</x:v>
      </x:c>
      <x:c r="H24" s="47" t="str">
        <x:v>Use hint / Close</x:v>
      </x:c>
      <x:c r="I24" s="47" t="str">
        <x:v>Default, unavailable</x:v>
      </x:c>
      <x:c r="J24" s="47" t="str">
        <x:v>Hint use marks evidence assisted</x:v>
      </x:c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7" t="str">
        <x:v>L-031</x:v>
      </x:c>
      <x:c r="B25" s="47" t="str">
        <x:v>Learner</x:v>
      </x:c>
      <x:c r="C25" s="47" t="str">
        <x:v>Overlay</x:v>
      </x:c>
      <x:c r="D25" s="47" t="str">
        <x:v>Skip Confirmation</x:v>
      </x:c>
      <x:c r="E25" s="47" t="str">
        <x:v>/learn/skip</x:v>
      </x:c>
      <x:c r="F25" s="47" t="str">
        <x:v>Confirm skip without shame or false completion</x:v>
      </x:c>
      <x:c r="G25" s="47" t="str">
        <x:v>Skip request</x:v>
      </x:c>
      <x:c r="H25" s="47" t="str">
        <x:v>Skip for now / Keep trying</x:v>
      </x:c>
      <x:c r="I25" s="47" t="str">
        <x:v>Default</x:v>
      </x:c>
      <x:c r="J25" s="47" t="str">
        <x:v>Skip != completion/mastery/streak</x:v>
      </x:c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7" t="str">
        <x:v>L-032</x:v>
      </x:c>
      <x:c r="B26" s="47" t="str">
        <x:v>Learner</x:v>
      </x:c>
      <x:c r="C26" s="47" t="str">
        <x:v>Learning</x:v>
      </x:c>
      <x:c r="D26" s="47" t="str">
        <x:v>Cycle Summary</x:v>
      </x:c>
      <x:c r="E26" s="47" t="str">
        <x:v>/learn/cycle/summary</x:v>
      </x:c>
      <x:c r="F26" s="47" t="str">
        <x:v>Explicit closure, practiced evidence and next step</x:v>
      </x:c>
      <x:c r="G26" s="47" t="str">
        <x:v>Cycle complete</x:v>
      </x:c>
      <x:c r="H26" s="47" t="str">
        <x:v>Done for now / Continue learning</x:v>
      </x:c>
      <x:c r="I26" s="47" t="str">
        <x:v>Complete, partial, sync-queued</x:v>
      </x:c>
      <x:c r="J26" s="47" t="str">
        <x:v>No fake mastery %; user explicitly starts another cycle</x:v>
      </x:c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7" t="str">
        <x:v>L-033</x:v>
      </x:c>
      <x:c r="B27" s="47" t="str">
        <x:v>Learner</x:v>
      </x:c>
      <x:c r="C27" s="47" t="str">
        <x:v>Learning</x:v>
      </x:c>
      <x:c r="D27" s="47" t="str">
        <x:v>Resume Cycle</x:v>
      </x:c>
      <x:c r="E27" s="47" t="str">
        <x:v>/learn/resume</x:v>
      </x:c>
      <x:c r="F27" s="47" t="str">
        <x:v>Resume preserved finite cycle</x:v>
      </x:c>
      <x:c r="G27" s="47" t="str">
        <x:v>Interrupted cycle</x:v>
      </x:c>
      <x:c r="H27" s="47" t="str">
        <x:v>Resume / Leave for now</x:v>
      </x:c>
      <x:c r="I27" s="47" t="str">
        <x:v>Resume, stale-content refresh</x:v>
      </x:c>
      <x:c r="J27" s="47" t="str">
        <x:v>No duplicate submit on resume</x:v>
      </x:c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7" t="str">
        <x:v>L-040</x:v>
      </x:c>
      <x:c r="B28" s="47" t="str">
        <x:v>Learner</x:v>
      </x:c>
      <x:c r="C28" s="47" t="str">
        <x:v>Main</x:v>
      </x:c>
      <x:c r="D28" s="47" t="str">
        <x:v>Course Map</x:v>
      </x:c>
      <x:c r="E28" s="47" t="str">
        <x:v>/course</x:v>
      </x:c>
      <x:c r="F28" s="47" t="str">
        <x:v>Browse objectives and broader path</x:v>
      </x:c>
      <x:c r="G28" s="47" t="str">
        <x:v>Course tab</x:v>
      </x:c>
      <x:c r="H28" s="47" t="str">
        <x:v>Open objective / Preview locked</x:v>
      </x:c>
      <x:c r="I28" s="47" t="str">
        <x:v>Open, due-review, locked, empty</x:v>
      </x:c>
      <x:c r="J28" s="47" t="str">
        <x:v>Preview does not unlock/progress</x:v>
      </x:c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7" t="str">
        <x:v>L-041</x:v>
      </x:c>
      <x:c r="B29" s="47" t="str">
        <x:v>Learner</x:v>
      </x:c>
      <x:c r="C29" s="47" t="str">
        <x:v>Course</x:v>
      </x:c>
      <x:c r="D29" s="47" t="str">
        <x:v>Objective Detail</x:v>
      </x:c>
      <x:c r="E29" s="47" t="str">
        <x:v>/course/objective/:id</x:v>
      </x:c>
      <x:c r="F29" s="47" t="str">
        <x:v>Explain objective, evidence and eligibility</x:v>
      </x:c>
      <x:c r="G29" s="47" t="str">
        <x:v>Course map</x:v>
      </x:c>
      <x:c r="H29" s="47" t="str">
        <x:v>Start eligible practice / Review</x:v>
      </x:c>
      <x:c r="I29" s="47" t="str">
        <x:v>Eligible, due, locked, insufficient-evidence</x:v>
      </x:c>
      <x:c r="J29" s="47" t="str">
        <x:v>Prerequisite guardrail remains authoritative</x:v>
      </x:c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7" t="str">
        <x:v>L-042</x:v>
      </x:c>
      <x:c r="B30" s="47" t="str">
        <x:v>Learner</x:v>
      </x:c>
      <x:c r="C30" s="47" t="str">
        <x:v>Course</x:v>
      </x:c>
      <x:c r="D30" s="47" t="str">
        <x:v>Locked Preview</x:v>
      </x:c>
      <x:c r="E30" s="47" t="str">
        <x:v>/course/objective/:id/preview</x:v>
      </x:c>
      <x:c r="F30" s="47" t="str">
        <x:v>Safe preview of locked objective</x:v>
      </x:c>
      <x:c r="G30" s="47" t="str">
        <x:v>Locked objective</x:v>
      </x:c>
      <x:c r="H30" s="47" t="str">
        <x:v>Back / Work on prerequisite</x:v>
      </x:c>
      <x:c r="I30" s="47" t="str">
        <x:v>Preview</x:v>
      </x:c>
      <x:c r="J30" s="47" t="str">
        <x:v>No score/progress/unlock from preview</x:v>
      </x:c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7" t="str">
        <x:v>L-050</x:v>
      </x:c>
      <x:c r="B31" s="47" t="str">
        <x:v>Learner</x:v>
      </x:c>
      <x:c r="C31" s="47" t="str">
        <x:v>Main</x:v>
      </x:c>
      <x:c r="D31" s="47" t="str">
        <x:v>Profile</x:v>
      </x:c>
      <x:c r="E31" s="47" t="str">
        <x:v>/profile</x:v>
      </x:c>
      <x:c r="F31" s="47" t="str">
        <x:v>Goal, qualitative learning evidence and settings entry</x:v>
      </x:c>
      <x:c r="G31" s="47" t="str">
        <x:v>Profile tab</x:v>
      </x:c>
      <x:c r="H31" s="47" t="str">
        <x:v>Open evidence/settings</x:v>
      </x:c>
      <x:c r="I31" s="47" t="str">
        <x:v>Default, insufficient-evidence</x:v>
      </x:c>
      <x:c r="J31" s="47" t="str">
        <x:v>Engagement/streak not presented as mastery</x:v>
      </x:c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7" t="str">
        <x:v>L-051</x:v>
      </x:c>
      <x:c r="B32" s="47" t="str">
        <x:v>Learner</x:v>
      </x:c>
      <x:c r="C32" s="47" t="str">
        <x:v>Profile</x:v>
      </x:c>
      <x:c r="D32" s="47" t="str">
        <x:v>Evidence Detail</x:v>
      </x:c>
      <x:c r="E32" s="47" t="str">
        <x:v>/profile/evidence/:domain</x:v>
      </x:c>
      <x:c r="F32" s="47" t="str">
        <x:v>Show observations, uncertainty and missing evidence</x:v>
      </x:c>
      <x:c r="G32" s="47" t="str">
        <x:v>Profile</x:v>
      </x:c>
      <x:c r="H32" s="47" t="str">
        <x:v>Review related objective</x:v>
      </x:c>
      <x:c r="I32" s="47" t="str">
        <x:v>Building, more-evidence-needed</x:v>
      </x:c>
      <x:c r="J32" s="47" t="str">
        <x:v>No diagnosis or precise mastery percentage without validated model</x:v>
      </x:c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7" t="str">
        <x:v>L-052</x:v>
      </x:c>
      <x:c r="B33" s="47" t="str">
        <x:v>Learner</x:v>
      </x:c>
      <x:c r="C33" s="47" t="str">
        <x:v>Profile</x:v>
      </x:c>
      <x:c r="D33" s="47" t="str">
        <x:v>Goal Settings</x:v>
      </x:c>
      <x:c r="E33" s="47" t="str">
        <x:v>/profile/goal</x:v>
      </x:c>
      <x:c r="F33" s="47" t="str">
        <x:v>Edit learner intent</x:v>
      </x:c>
      <x:c r="G33" s="47" t="str">
        <x:v>Profile</x:v>
      </x:c>
      <x:c r="H33" s="47" t="str">
        <x:v>Save / Clear</x:v>
      </x:c>
      <x:c r="I33" s="47" t="str">
        <x:v>Default, saved, error</x:v>
      </x:c>
      <x:c r="J33" s="47" t="str">
        <x:v>Goal change does not rewrite competence</x:v>
      </x:c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7" t="str">
        <x:v>L-053</x:v>
      </x:c>
      <x:c r="B34" s="47" t="str">
        <x:v>Learner</x:v>
      </x:c>
      <x:c r="C34" s="47" t="str">
        <x:v>Profile</x:v>
      </x:c>
      <x:c r="D34" s="47" t="str">
        <x:v>Learning Preferences</x:v>
      </x:c>
      <x:c r="E34" s="47" t="str">
        <x:v>/profile/preferences</x:v>
      </x:c>
      <x:c r="F34" s="47" t="str">
        <x:v>Accessibility and learning preferences</x:v>
      </x:c>
      <x:c r="G34" s="47" t="str">
        <x:v>Profile</x:v>
      </x:c>
      <x:c r="H34" s="47" t="str">
        <x:v>Save</x:v>
      </x:c>
      <x:c r="I34" s="47" t="str">
        <x:v>Default, saved</x:v>
      </x:c>
      <x:c r="J34" s="47" t="str">
        <x:v>Preference cannot bypass required eligibility rules</x:v>
      </x:c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7" t="str">
        <x:v>L-054</x:v>
      </x:c>
      <x:c r="B35" s="47" t="str">
        <x:v>Learner</x:v>
      </x:c>
      <x:c r="C35" s="47" t="str">
        <x:v>Profile</x:v>
      </x:c>
      <x:c r="D35" s="47" t="str">
        <x:v>Offline Downloads</x:v>
      </x:c>
      <x:c r="E35" s="47" t="str">
        <x:v>/profile/offline</x:v>
      </x:c>
      <x:c r="F35" s="47" t="str">
        <x:v>Manage available offline content packages</x:v>
      </x:c>
      <x:c r="G35" s="47" t="str">
        <x:v>Profile</x:v>
      </x:c>
      <x:c r="H35" s="47" t="str">
        <x:v>Download / Remove / Refresh</x:v>
      </x:c>
      <x:c r="I35" s="47" t="str">
        <x:v>Available, downloading, downloaded, expired, failed</x:v>
      </x:c>
      <x:c r="J35" s="47" t="str">
        <x:v>Access grant/package rules remain server-authoritative</x:v>
      </x:c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7" t="str">
        <x:v>L-060</x:v>
      </x:c>
      <x:c r="B36" s="47" t="str">
        <x:v>Learner</x:v>
      </x:c>
      <x:c r="C36" s="47" t="str">
        <x:v>System</x:v>
      </x:c>
      <x:c r="D36" s="47" t="str">
        <x:v>Sync Queue</x:v>
      </x:c>
      <x:c r="E36" s="47" t="str">
        <x:v>/sync</x:v>
      </x:c>
      <x:c r="F36" s="47" t="str">
        <x:v>Explain queued/synced items without technical jargon</x:v>
      </x:c>
      <x:c r="G36" s="47" t="str">
        <x:v>Sync status tap</x:v>
      </x:c>
      <x:c r="H36" s="47" t="str">
        <x:v>Retry / Close</x:v>
      </x:c>
      <x:c r="I36" s="47" t="str">
        <x:v>Queued, syncing, synced, partial</x:v>
      </x:c>
      <x:c r="J36" s="47" t="str">
        <x:v>Queued != accepted; canonical progress waits server result</x:v>
      </x:c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7" t="str">
        <x:v>L-061</x:v>
      </x:c>
      <x:c r="B37" s="47" t="str">
        <x:v>Learner</x:v>
      </x:c>
      <x:c r="C37" s="47" t="str">
        <x:v>System</x:v>
      </x:c>
      <x:c r="D37" s="47" t="str">
        <x:v>Sync Error</x:v>
      </x:c>
      <x:c r="E37" s="47" t="str">
        <x:v>/sync/error</x:v>
      </x:c>
      <x:c r="F37" s="47" t="str">
        <x:v>Recover retryable sync failure</x:v>
      </x:c>
      <x:c r="G37" s="47" t="str">
        <x:v>Sync fail</x:v>
      </x:c>
      <x:c r="H37" s="47" t="str">
        <x:v>Retry now / Later</x:v>
      </x:c>
      <x:c r="I37" s="47" t="str">
        <x:v>Retryable, re-auth-required, canonical-refresh</x:v>
      </x:c>
      <x:c r="J37" s="47" t="str">
        <x:v>Never encourage duplicate manual resubmission</x:v>
      </x:c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7" t="str">
        <x:v>L-062</x:v>
      </x:c>
      <x:c r="B38" s="47" t="str">
        <x:v>Learner</x:v>
      </x:c>
      <x:c r="C38" s="47" t="str">
        <x:v>System</x:v>
      </x:c>
      <x:c r="D38" s="47" t="str">
        <x:v>Generic Error</x:v>
      </x:c>
      <x:c r="E38" s="47" t="str">
        <x:v>/error</x:v>
      </x:c>
      <x:c r="F38" s="47" t="str">
        <x:v>Recover from unexpected non-destructive error</x:v>
      </x:c>
      <x:c r="G38" s="47" t="str">
        <x:v>Runtime error</x:v>
      </x:c>
      <x:c r="H38" s="47" t="str">
        <x:v>Retry / Go home</x:v>
      </x:c>
      <x:c r="I38" s="47" t="str">
        <x:v>Recoverable, fatal</x:v>
      </x:c>
      <x:c r="J38" s="47" t="str">
        <x:v>No false success state</x:v>
      </x:c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7" t="str">
        <x:v>L-063</x:v>
      </x:c>
      <x:c r="B39" s="47" t="str">
        <x:v>Learner</x:v>
      </x:c>
      <x:c r="C39" s="47" t="str">
        <x:v>System</x:v>
      </x:c>
      <x:c r="D39" s="47" t="str">
        <x:v>Nothing Due / Content Gap</x:v>
      </x:c>
      <x:c r="E39" s="47" t="str">
        <x:v>/learn/empty</x:v>
      </x:c>
      <x:c r="F39" s="47" t="str">
        <x:v>Honest empty/content unavailable state</x:v>
      </x:c>
      <x:c r="G39" s="47" t="str">
        <x:v>No eligible cycle</x:v>
      </x:c>
      <x:c r="H39" s="47" t="str">
        <x:v>Explore course / Sync content</x:v>
      </x:c>
      <x:c r="I39" s="47" t="str">
        <x:v>Nothing-due, no-valid-cycle, media-unavailable</x:v>
      </x:c>
      <x:c r="J39" s="47" t="str">
        <x:v>Do not fabricate cycle/recommendation</x:v>
      </x:c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7" t="str">
        <x:v>L-064</x:v>
      </x:c>
      <x:c r="B40" s="47" t="str">
        <x:v>Learner</x:v>
      </x:c>
      <x:c r="C40" s="47" t="str">
        <x:v>System</x:v>
      </x:c>
      <x:c r="D40" s="47" t="str">
        <x:v>Re-auth Required</x:v>
      </x:c>
      <x:c r="E40" s="47" t="str">
        <x:v>/reauth</x:v>
      </x:c>
      <x:c r="F40" s="47" t="str">
        <x:v>Explain account/session action required</x:v>
      </x:c>
      <x:c r="G40" s="47" t="str">
        <x:v>Auth/session invalid later</x:v>
      </x:c>
      <x:c r="H40" s="47" t="str">
        <x:v>Sign in again</x:v>
      </x:c>
      <x:c r="I40" s="47" t="str">
        <x:v>Default</x:v>
      </x:c>
      <x:c r="J40" s="47" t="str">
        <x:v>Phase 3 implements auth; no local permission bypass</x:v>
      </x:c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7" t="str">
        <x:v>S-001</x:v>
      </x:c>
      <x:c r="B41" s="47" t="str">
        <x:v>Staff</x:v>
      </x:c>
      <x:c r="C41" s="47" t="str">
        <x:v>Entry</x:v>
      </x:c>
      <x:c r="D41" s="47" t="str">
        <x:v>Staff Entry</x:v>
      </x:c>
      <x:c r="E41" s="47" t="str">
        <x:v>/staff</x:v>
      </x:c>
      <x:c r="F41" s="47" t="str">
        <x:v>Role-aware staff shell entry placeholder</x:v>
      </x:c>
      <x:c r="G41" s="47" t="str">
        <x:v>Staff app launch</x:v>
      </x:c>
      <x:c r="H41" s="47" t="str">
        <x:v>Enter authorized workspace</x:v>
      </x:c>
      <x:c r="I41" s="47" t="str">
        <x:v>Loading, access-required</x:v>
      </x:c>
      <x:c r="J41" s="47" t="str">
        <x:v>Actual authentication/authorization belongs Phase 3</x:v>
      </x:c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7" t="str">
        <x:v>S-010</x:v>
      </x:c>
      <x:c r="B42" s="47" t="str">
        <x:v>Staff</x:v>
      </x:c>
      <x:c r="C42" s="47" t="str">
        <x:v>Main</x:v>
      </x:c>
      <x:c r="D42" s="47" t="str">
        <x:v>Dashboard</x:v>
      </x:c>
      <x:c r="E42" s="47" t="str">
        <x:v>/staff/dashboard</x:v>
      </x:c>
      <x:c r="F42" s="47" t="str">
        <x:v>Operational overview and pending work</x:v>
      </x:c>
      <x:c r="G42" s="47" t="str">
        <x:v>Staff shell</x:v>
      </x:c>
      <x:c r="H42" s="47" t="str">
        <x:v>Open work queue</x:v>
      </x:c>
      <x:c r="I42" s="47" t="str">
        <x:v>Default, empty, partial</x:v>
      </x:c>
      <x:c r="J42" s="47" t="str">
        <x:v>Metrics must identify time range/source</x:v>
      </x:c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7" t="str">
        <x:v>S-020</x:v>
      </x:c>
      <x:c r="B43" s="47" t="str">
        <x:v>Staff</x:v>
      </x:c>
      <x:c r="C43" s="47" t="str">
        <x:v>Learners</x:v>
      </x:c>
      <x:c r="D43" s="47" t="str">
        <x:v>Learner List</x:v>
      </x:c>
      <x:c r="E43" s="47" t="str">
        <x:v>/staff/learners</x:v>
      </x:c>
      <x:c r="F43" s="47" t="str">
        <x:v>Search/filter assigned learners</x:v>
      </x:c>
      <x:c r="G43" s="47" t="str">
        <x:v>Learners nav</x:v>
      </x:c>
      <x:c r="H43" s="47" t="str">
        <x:v>Open learner</x:v>
      </x:c>
      <x:c r="I43" s="47" t="str">
        <x:v>Loading, empty, filtered, error</x:v>
      </x:c>
      <x:c r="J43" s="47" t="str">
        <x:v>Role visibility is not authorization</x:v>
      </x:c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7" t="str">
        <x:v>S-021</x:v>
      </x:c>
      <x:c r="B44" s="47" t="str">
        <x:v>Staff</x:v>
      </x:c>
      <x:c r="C44" s="47" t="str">
        <x:v>Learners</x:v>
      </x:c>
      <x:c r="D44" s="47" t="str">
        <x:v>Learner Overview</x:v>
      </x:c>
      <x:c r="E44" s="47" t="str">
        <x:v>/staff/learners/:id</x:v>
      </x:c>
      <x:c r="F44" s="47" t="str">
        <x:v>Evidence-based learner overview</x:v>
      </x:c>
      <x:c r="G44" s="47" t="str">
        <x:v>Learner list</x:v>
      </x:c>
      <x:c r="H44" s="47" t="str">
        <x:v>Open evidence/activity/intervention</x:v>
      </x:c>
      <x:c r="I44" s="47" t="str">
        <x:v>Default, insufficient-evidence, access-denied</x:v>
      </x:c>
      <x:c r="J44" s="47" t="str">
        <x:v>No mental-state diagnosis; raw risk not default to content admin</x:v>
      </x:c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7" t="str">
        <x:v>S-022</x:v>
      </x:c>
      <x:c r="B45" s="47" t="str">
        <x:v>Staff</x:v>
      </x:c>
      <x:c r="C45" s="47" t="str">
        <x:v>Learners</x:v>
      </x:c>
      <x:c r="D45" s="47" t="str">
        <x:v>Learner Evidence</x:v>
      </x:c>
      <x:c r="E45" s="47" t="str">
        <x:v>/staff/learners/:id/evidence</x:v>
      </x:c>
      <x:c r="F45" s="47" t="str">
        <x:v>Review learning/engagement evidence separately</x:v>
      </x:c>
      <x:c r="G45" s="47" t="str">
        <x:v>Learner overview</x:v>
      </x:c>
      <x:c r="H45" s="47" t="str">
        <x:v>Inspect evidence</x:v>
      </x:c>
      <x:c r="I45" s="47" t="str">
        <x:v>Loading, no-evidence</x:v>
      </x:c>
      <x:c r="J45" s="47" t="str">
        <x:v>Mastery != risk; uncertainty visible</x:v>
      </x:c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7" t="str">
        <x:v>S-023</x:v>
      </x:c>
      <x:c r="B46" s="47" t="str">
        <x:v>Staff</x:v>
      </x:c>
      <x:c r="C46" s="47" t="str">
        <x:v>Learners</x:v>
      </x:c>
      <x:c r="D46" s="47" t="str">
        <x:v>Learner Activity</x:v>
      </x:c>
      <x:c r="E46" s="47" t="str">
        <x:v>/staff/learners/:id/activity</x:v>
      </x:c>
      <x:c r="F46" s="47" t="str">
        <x:v>Auditable recent learning/exposure/activity history</x:v>
      </x:c>
      <x:c r="G46" s="47" t="str">
        <x:v>Learner overview</x:v>
      </x:c>
      <x:c r="H46" s="47" t="str">
        <x:v>Inspect record</x:v>
      </x:c>
      <x:c r="I46" s="47" t="str">
        <x:v>Default, empty</x:v>
      </x:c>
      <x:c r="J46" s="47" t="str">
        <x:v>Historical revision pinning preserved</x:v>
      </x:c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7" t="str">
        <x:v>S-030</x:v>
      </x:c>
      <x:c r="B47" s="47" t="str">
        <x:v>Staff</x:v>
      </x:c>
      <x:c r="C47" s="47" t="str">
        <x:v>Content</x:v>
      </x:c>
      <x:c r="D47" s="47" t="str">
        <x:v>Content Library</x:v>
      </x:c>
      <x:c r="E47" s="47" t="str">
        <x:v>/staff/content</x:v>
      </x:c>
      <x:c r="F47" s="47" t="str">
        <x:v>Browse/search drafts/published revisions</x:v>
      </x:c>
      <x:c r="G47" s="47" t="str">
        <x:v>Content nav</x:v>
      </x:c>
      <x:c r="H47" s="47" t="str">
        <x:v>Create draft / Open item</x:v>
      </x:c>
      <x:c r="I47" s="47" t="str">
        <x:v>Default, empty, filtered</x:v>
      </x:c>
      <x:c r="J47" s="47" t="str">
        <x:v>Published revision immutable</x:v>
      </x:c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7" t="str">
        <x:v>S-031</x:v>
      </x:c>
      <x:c r="B48" s="47" t="str">
        <x:v>Staff</x:v>
      </x:c>
      <x:c r="C48" s="47" t="str">
        <x:v>Content</x:v>
      </x:c>
      <x:c r="D48" s="47" t="str">
        <x:v>Content Draft Editor</x:v>
      </x:c>
      <x:c r="E48" s="47" t="str">
        <x:v>/staff/content/drafts/:id</x:v>
      </x:c>
      <x:c r="F48" s="47" t="str">
        <x:v>Author draft content and learning metadata</x:v>
      </x:c>
      <x:c r="G48" s="47" t="str">
        <x:v>Library/new draft</x:v>
      </x:c>
      <x:c r="H48" s="47" t="str">
        <x:v>Save draft / Preview / Submit review</x:v>
      </x:c>
      <x:c r="I48" s="47" t="str">
        <x:v>Dirty, saving, saved, validation-error</x:v>
      </x:c>
      <x:c r="J48" s="47" t="str">
        <x:v>Draft may change; published content cannot</x:v>
      </x:c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7" t="str">
        <x:v>S-032</x:v>
      </x:c>
      <x:c r="B49" s="47" t="str">
        <x:v>Staff</x:v>
      </x:c>
      <x:c r="C49" s="47" t="str">
        <x:v>Content</x:v>
      </x:c>
      <x:c r="D49" s="47" t="str">
        <x:v>Content Preview</x:v>
      </x:c>
      <x:c r="E49" s="47" t="str">
        <x:v>/staff/content/drafts/:id/preview</x:v>
      </x:c>
      <x:c r="F49" s="47" t="str">
        <x:v>Preview learner rendering before review</x:v>
      </x:c>
      <x:c r="G49" s="47" t="str">
        <x:v>Editor</x:v>
      </x:c>
      <x:c r="H49" s="47" t="str">
        <x:v>Back to edit / Submit review</x:v>
      </x:c>
      <x:c r="I49" s="47" t="str">
        <x:v>Mobile preview, audio unavailable</x:v>
      </x:c>
      <x:c r="J49" s="47" t="str">
        <x:v>Preview is not publication</x:v>
      </x:c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7" t="str">
        <x:v>S-033</x:v>
      </x:c>
      <x:c r="B50" s="47" t="str">
        <x:v>Staff</x:v>
      </x:c>
      <x:c r="C50" s="47" t="str">
        <x:v>Content</x:v>
      </x:c>
      <x:c r="D50" s="47" t="str">
        <x:v>Source &amp; License</x:v>
      </x:c>
      <x:c r="E50" s="47" t="str">
        <x:v>/staff/content/drafts/:id/source</x:v>
      </x:c>
      <x:c r="F50" s="47" t="str">
        <x:v>Capture provenance, license and attribution</x:v>
      </x:c>
      <x:c r="G50" s="47" t="str">
        <x:v>Editor</x:v>
      </x:c>
      <x:c r="H50" s="47" t="str">
        <x:v>Save provenance</x:v>
      </x:c>
      <x:c r="I50" s="47" t="str">
        <x:v>Complete, incomplete, blocked</x:v>
      </x:c>
      <x:c r="J50" s="47" t="str">
        <x:v>Public access alone != reuse permission</x:v>
      </x:c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7" t="str">
        <x:v>S-034</x:v>
      </x:c>
      <x:c r="B51" s="47" t="str">
        <x:v>Staff</x:v>
      </x:c>
      <x:c r="C51" s="47" t="str">
        <x:v>Content</x:v>
      </x:c>
      <x:c r="D51" s="47" t="str">
        <x:v>Review Queue</x:v>
      </x:c>
      <x:c r="E51" s="47" t="str">
        <x:v>/staff/content/review</x:v>
      </x:c>
      <x:c r="F51" s="47" t="str">
        <x:v>List items awaiting editorial/license review</x:v>
      </x:c>
      <x:c r="G51" s="47" t="str">
        <x:v>Content nav</x:v>
      </x:c>
      <x:c r="H51" s="47" t="str">
        <x:v>Open review</x:v>
      </x:c>
      <x:c r="I51" s="47" t="str">
        <x:v>Empty, filtered</x:v>
      </x:c>
      <x:c r="J51" s="47" t="str">
        <x:v>Reviewer actions require later server permission</x:v>
      </x:c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7" t="str">
        <x:v>S-035</x:v>
      </x:c>
      <x:c r="B52" s="47" t="str">
        <x:v>Staff</x:v>
      </x:c>
      <x:c r="C52" s="47" t="str">
        <x:v>Content</x:v>
      </x:c>
      <x:c r="D52" s="47" t="str">
        <x:v>Review Detail</x:v>
      </x:c>
      <x:c r="E52" s="47" t="str">
        <x:v>/staff/content/review/:id</x:v>
      </x:c>
      <x:c r="F52" s="47" t="str">
        <x:v>Review content, answers, media, provenance</x:v>
      </x:c>
      <x:c r="G52" s="47" t="str">
        <x:v>Review queue</x:v>
      </x:c>
      <x:c r="H52" s="47" t="str">
        <x:v>Approve / Request changes</x:v>
      </x:c>
      <x:c r="I52" s="47" t="str">
        <x:v>Reviewing, blocked-license, validation-error</x:v>
      </x:c>
      <x:c r="J52" s="47" t="str">
        <x:v>Cannot approve missing license/provenance gate</x:v>
      </x:c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7" t="str">
        <x:v>S-036</x:v>
      </x:c>
      <x:c r="B53" s="47" t="str">
        <x:v>Staff</x:v>
      </x:c>
      <x:c r="C53" s="47" t="str">
        <x:v>Overlay</x:v>
      </x:c>
      <x:c r="D53" s="47" t="str">
        <x:v>Publish Confirmation</x:v>
      </x:c>
      <x:c r="E53" s="47" t="str">
        <x:v>/staff/content/publish/:id</x:v>
      </x:c>
      <x:c r="F53" s="47" t="str">
        <x:v>Confirm creation of immutable published revision</x:v>
      </x:c>
      <x:c r="G53" s="47" t="str">
        <x:v>Approved review</x:v>
      </x:c>
      <x:c r="H53" s="47" t="str">
        <x:v>Publish revision / Cancel</x:v>
      </x:c>
      <x:c r="I53" s="47" t="str">
        <x:v>Ready, publishing, failed</x:v>
      </x:c>
      <x:c r="J53" s="47" t="str">
        <x:v>Publish creates new immutable revision; no edit-in-place</x:v>
      </x:c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7" t="str">
        <x:v>S-037</x:v>
      </x:c>
      <x:c r="B54" s="47" t="str">
        <x:v>Staff</x:v>
      </x:c>
      <x:c r="C54" s="47" t="str">
        <x:v>Content</x:v>
      </x:c>
      <x:c r="D54" s="47" t="str">
        <x:v>Published Revision</x:v>
      </x:c>
      <x:c r="E54" s="47" t="str">
        <x:v>/staff/content/published/:id</x:v>
      </x:c>
      <x:c r="F54" s="47" t="str">
        <x:v>Inspect immutable revision/history</x:v>
      </x:c>
      <x:c r="G54" s="47" t="str">
        <x:v>Library/publish</x:v>
      </x:c>
      <x:c r="H54" s="47" t="str">
        <x:v>Create new draft from revision</x:v>
      </x:c>
      <x:c r="I54" s="47" t="str">
        <x:v>Published, retired, revoked</x:v>
      </x:c>
      <x:c r="J54" s="47" t="str">
        <x:v>Historical attempt remains pinned</x:v>
      </x:c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7" t="str">
        <x:v>S-040</x:v>
      </x:c>
      <x:c r="B55" s="47" t="str">
        <x:v>Staff</x:v>
      </x:c>
      <x:c r="C55" s="47" t="str">
        <x:v>Interventions</x:v>
      </x:c>
      <x:c r="D55" s="47" t="str">
        <x:v>Interventions</x:v>
      </x:c>
      <x:c r="E55" s="47" t="str">
        <x:v>/staff/interventions</x:v>
      </x:c>
      <x:c r="F55" s="47" t="str">
        <x:v>Future queue of support actions</x:v>
      </x:c>
      <x:c r="G55" s="47" t="str">
        <x:v>Sidebar</x:v>
      </x:c>
      <x:c r="H55" s="47" t="str">
        <x:v>Open intervention</x:v>
      </x:c>
      <x:c r="I55" s="47" t="str">
        <x:v>Placeholder, empty</x:v>
      </x:c>
      <x:c r="J55" s="47" t="str">
        <x:v>Phase 11/12 domain behavior not implemented in Phase 2</x:v>
      </x:c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7" t="str">
        <x:v>S-041</x:v>
      </x:c>
      <x:c r="B56" s="47" t="str">
        <x:v>Staff</x:v>
      </x:c>
      <x:c r="C56" s="47" t="str">
        <x:v>Interventions</x:v>
      </x:c>
      <x:c r="D56" s="47" t="str">
        <x:v>Intervention Detail</x:v>
      </x:c>
      <x:c r="E56" s="47" t="str">
        <x:v>/staff/interventions/:id</x:v>
      </x:c>
      <x:c r="F56" s="47" t="str">
        <x:v>Show reason/evidence/decision/exposure/execution/outcome structure</x:v>
      </x:c>
      <x:c r="G56" s="47" t="str">
        <x:v>Interventions</x:v>
      </x:c>
      <x:c r="H56" s="47" t="str">
        <x:v>Record later action</x:v>
      </x:c>
      <x:c r="I56" s="47" t="str">
        <x:v>Placeholder, unavailable</x:v>
      </x:c>
      <x:c r="J56" s="47" t="str">
        <x:v>Recommendation lifecycle layers remain distinct</x:v>
      </x:c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7" t="str">
        <x:v>S-050</x:v>
      </x:c>
      <x:c r="B57" s="47" t="str">
        <x:v>Staff</x:v>
      </x:c>
      <x:c r="C57" s="47" t="str">
        <x:v>Analytics</x:v>
      </x:c>
      <x:c r="D57" s="47" t="str">
        <x:v>Analytics Overview</x:v>
      </x:c>
      <x:c r="E57" s="47" t="str">
        <x:v>/staff/analytics</x:v>
      </x:c>
      <x:c r="F57" s="47" t="str">
        <x:v>Future operational/learning analytics shell</x:v>
      </x:c>
      <x:c r="G57" s="47" t="str">
        <x:v>Sidebar</x:v>
      </x:c>
      <x:c r="H57" s="47" t="str">
        <x:v>Open metric view</x:v>
      </x:c>
      <x:c r="I57" s="47" t="str">
        <x:v>Placeholder, no-data</x:v>
      </x:c>
      <x:c r="J57" s="47" t="str">
        <x:v>Event time/known time/source context required</x:v>
      </x:c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7" t="str">
        <x:v>S-051</x:v>
      </x:c>
      <x:c r="B58" s="47" t="str">
        <x:v>Staff</x:v>
      </x:c>
      <x:c r="C58" s="47" t="str">
        <x:v>Analytics</x:v>
      </x:c>
      <x:c r="D58" s="47" t="str">
        <x:v>Metric Detail</x:v>
      </x:c>
      <x:c r="E58" s="47" t="str">
        <x:v>/staff/analytics/:metric</x:v>
      </x:c>
      <x:c r="F58" s="47" t="str">
        <x:v>Inspect metric definition, cohort and time window</x:v>
      </x:c>
      <x:c r="G58" s="47" t="str">
        <x:v>Analytics overview</x:v>
      </x:c>
      <x:c r="H58" s="47" t="str">
        <x:v>Change filters</x:v>
      </x:c>
      <x:c r="I58" s="47" t="str">
        <x:v>Placeholder, insufficient-data</x:v>
      </x:c>
      <x:c r="J58" s="47" t="str">
        <x:v>No hidden denominator or future-data leakage</x:v>
      </x:c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7" t="str">
        <x:v>S-060</x:v>
      </x:c>
      <x:c r="B59" s="47" t="str">
        <x:v>Staff</x:v>
      </x:c>
      <x:c r="C59" s="47" t="str">
        <x:v>Admin</x:v>
      </x:c>
      <x:c r="D59" s="47" t="str">
        <x:v>Administration</x:v>
      </x:c>
      <x:c r="E59" s="47" t="str">
        <x:v>/staff/admin</x:v>
      </x:c>
      <x:c r="F59" s="47" t="str">
        <x:v>Entry to role/config/audit operations</x:v>
      </x:c>
      <x:c r="G59" s="47" t="str">
        <x:v>Sidebar</x:v>
      </x:c>
      <x:c r="H59" s="47" t="str">
        <x:v>Open admin area</x:v>
      </x:c>
      <x:c r="I59" s="47" t="str">
        <x:v>Placeholder, access-denied</x:v>
      </x:c>
      <x:c r="J59" s="47" t="str">
        <x:v>Phase 3/13 define authorization/security</x:v>
      </x:c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7" t="str">
        <x:v>S-061</x:v>
      </x:c>
      <x:c r="B60" s="47" t="str">
        <x:v>Staff</x:v>
      </x:c>
      <x:c r="C60" s="47" t="str">
        <x:v>Admin</x:v>
      </x:c>
      <x:c r="D60" s="47" t="str">
        <x:v>Roles &amp; Permissions</x:v>
      </x:c>
      <x:c r="E60" s="47" t="str">
        <x:v>/staff/admin/roles</x:v>
      </x:c>
      <x:c r="F60" s="47" t="str">
        <x:v>Future role management shell</x:v>
      </x:c>
      <x:c r="G60" s="47" t="str">
        <x:v>Administration</x:v>
      </x:c>
      <x:c r="H60" s="47" t="str">
        <x:v>Inspect role</x:v>
      </x:c>
      <x:c r="I60" s="47" t="str">
        <x:v>Placeholder</x:v>
      </x:c>
      <x:c r="J60" s="47" t="str">
        <x:v>UI visibility never substitutes backend authz</x:v>
      </x:c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7" t="str">
        <x:v>S-062</x:v>
      </x:c>
      <x:c r="B61" s="47" t="str">
        <x:v>Staff</x:v>
      </x:c>
      <x:c r="C61" s="47" t="str">
        <x:v>Admin</x:v>
      </x:c>
      <x:c r="D61" s="47" t="str">
        <x:v>Audit Log</x:v>
      </x:c>
      <x:c r="E61" s="47" t="str">
        <x:v>/staff/admin/audit</x:v>
      </x:c>
      <x:c r="F61" s="47" t="str">
        <x:v>Future privileged audit view</x:v>
      </x:c>
      <x:c r="G61" s="47" t="str">
        <x:v>Administration</x:v>
      </x:c>
      <x:c r="H61" s="47" t="str">
        <x:v>Inspect event</x:v>
      </x:c>
      <x:c r="I61" s="47" t="str">
        <x:v>Placeholder, filtered</x:v>
      </x:c>
      <x:c r="J61" s="47" t="str">
        <x:v>Privileged actions audited</x:v>
      </x:c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ebac0535a5b54c0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58" hidden="0" customWidth="1"/>
    <x:col min="4" max="4" width="78" hidden="0" customWidth="1"/>
  </x:cols>
  <x:sheetData>
    <x:row r="1" ht="28" customHeight="1">
      <x:c r="A1" s="4" t="str">
        <x:v>SHARED COMPONENT / STATE CATALOG</x:v>
      </x:c>
      <x:c r="B1" s="4"/>
      <x:c r="C1" s="4"/>
      <x:c r="D1" s="4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Mandatory non-happy-path states.</x:v>
      </x:c>
      <x:c r="B2" s="11"/>
      <x:c r="C2" s="11"/>
      <x:c r="D2" s="11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Component ID</x:v>
      </x:c>
      <x:c r="B4" s="46" t="str">
        <x:v>Component</x:v>
      </x:c>
      <x:c r="C4" s="46" t="str">
        <x:v>Required states</x:v>
      </x:c>
      <x:c r="D4" s="46" t="str">
        <x:v>Invariant / UX rule</x:v>
      </x:c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C-001</x:v>
      </x:c>
      <x:c r="B5" s="47" t="str">
        <x:v>AppShell</x:v>
      </x:c>
      <x:c r="C5" s="47" t="str">
        <x:v>loading, ready, offline, sync-warning, access-required</x:v>
      </x:c>
      <x:c r="D5" s="47" t="str">
        <x:v>Navigation shell never performs business authorization.</x:v>
      </x:c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 t="str">
        <x:v>C-002</x:v>
      </x:c>
      <x:c r="B6" s="47" t="str">
        <x:v>PrimaryButton</x:v>
      </x:c>
      <x:c r="C6" s="47" t="str">
        <x:v>default, pressed, focus, disabled, loading</x:v>
      </x:c>
      <x:c r="D6" s="47" t="str">
        <x:v>One dominant action per view where possible; disabled reason exposed when important.</x:v>
      </x:c>
      <x:c r="E6" s="45"/>
      <x:c r="F6" s="45"/>
      <x:c r="G6" s="45"/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 t="str">
        <x:v>C-003</x:v>
      </x:c>
      <x:c r="B7" s="47" t="str">
        <x:v>AnswerOption</x:v>
      </x:c>
      <x:c r="C7" s="47" t="str">
        <x:v>idle, selected, focus, disabled, correct, incorrect</x:v>
      </x:c>
      <x:c r="D7" s="47" t="str">
        <x:v>Color is never the only correctness signal; selection is not submission.</x:v>
      </x:c>
      <x:c r="E7" s="45"/>
      <x:c r="F7" s="45"/>
      <x:c r="G7" s="45"/>
      <x:c r="H7" s="45"/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 t="str">
        <x:v>C-004</x:v>
      </x:c>
      <x:c r="B8" s="47" t="str">
        <x:v>QuestionCard</x:v>
      </x:c>
      <x:c r="C8" s="47" t="str">
        <x:v>ready, submitting, locked, audio-unavailable</x:v>
      </x:c>
      <x:c r="D8" s="47" t="str">
        <x:v>Check mode can remove hint action without changing visual identity beyond clear context label.</x:v>
      </x:c>
      <x:c r="E8" s="45"/>
      <x:c r="F8" s="45"/>
      <x:c r="G8" s="45"/>
      <x:c r="H8" s="45"/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7" t="str">
        <x:v>C-005</x:v>
      </x:c>
      <x:c r="B9" s="47" t="str">
        <x:v>FeedbackPanel</x:v>
      </x:c>
      <x:c r="C9" s="47" t="str">
        <x:v>correct, incorrect, retry-available, assisted, final</x:v>
      </x:c>
      <x:c r="D9" s="47" t="str">
        <x:v>Retry result never rewrites first-response language/history.</x:v>
      </x:c>
      <x:c r="E9" s="45"/>
      <x:c r="F9" s="45"/>
      <x:c r="G9" s="45"/>
      <x:c r="H9" s="45"/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7" t="str">
        <x:v>C-006</x:v>
      </x:c>
      <x:c r="B10" s="47" t="str">
        <x:v>HintPanel</x:v>
      </x:c>
      <x:c r="C10" s="47" t="str">
        <x:v>available, open, used, unavailable</x:v>
      </x:c>
      <x:c r="D10" s="47" t="str">
        <x:v>Only in practice contexts; using it marks assisted evidence.</x:v>
      </x:c>
      <x:c r="E10" s="45"/>
      <x:c r="F10" s="45"/>
      <x:c r="G10" s="45"/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7" t="str">
        <x:v>C-007</x:v>
      </x:c>
      <x:c r="B11" s="47" t="str">
        <x:v>CycleProgress</x:v>
      </x:c>
      <x:c r="C11" s="47" t="str">
        <x:v>role-steps, item-progress, complete</x:v>
      </x:c>
      <x:c r="D11" s="47" t="str">
        <x:v>Show finite scope; never mimic infinite feed.</x:v>
      </x:c>
      <x:c r="E11" s="45"/>
      <x:c r="F11" s="45"/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7" t="str">
        <x:v>C-008</x:v>
      </x:c>
      <x:c r="B12" s="47" t="str">
        <x:v>RecommendationCard</x:v>
      </x:c>
      <x:c r="C12" s="47" t="str">
        <x:v>due-review, current-objective, prerequisite-gap, recent-error, transfer, challenge, unavailable</x:v>
      </x:c>
      <x:c r="D12" s="47" t="str">
        <x:v>Reason must match auditable reason code; no inferred mental-state copy.</x:v>
      </x:c>
      <x:c r="E12" s="45"/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7" t="str">
        <x:v>C-009</x:v>
      </x:c>
      <x:c r="B13" s="47" t="str">
        <x:v>SyncBanner</x:v>
      </x:c>
      <x:c r="C13" s="47" t="str">
        <x:v>offline, queued, syncing, synced, partial, failed, reauth</x:v>
      </x:c>
      <x:c r="D13" s="47" t="str">
        <x:v>Distinguish device-saved from server-synced.</x:v>
      </x:c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7" t="str">
        <x:v>C-010</x:v>
      </x:c>
      <x:c r="B14" s="47" t="str">
        <x:v>EvidenceCard</x:v>
      </x:c>
      <x:c r="C14" s="47" t="str">
        <x:v>observed, building, needs-more-evidence, unavailable</x:v>
      </x:c>
      <x:c r="D14" s="47" t="str">
        <x:v>No fake mastery percentage or diagnosis.</x:v>
      </x:c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7" t="str">
        <x:v>C-011</x:v>
      </x:c>
      <x:c r="B15" s="47" t="str">
        <x:v>ObjectiveCard</x:v>
      </x:c>
      <x:c r="C15" s="47" t="str">
        <x:v>current, open, due, locked, preview</x:v>
      </x:c>
      <x:c r="D15" s="47" t="str">
        <x:v>Preview cannot produce completion/unlock.</x:v>
      </x:c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7" t="str">
        <x:v>C-012</x:v>
      </x:c>
      <x:c r="B16" s="47" t="str">
        <x:v>AudioControl</x:v>
      </x:c>
      <x:c r="C16" s="47" t="str">
        <x:v>ready, playing, paused, loading, unavailable, play-limit-reached</x:v>
      </x:c>
      <x:c r="D16" s="47" t="str">
        <x:v>Client playback count is telemetry, never canonical score authority.</x:v>
      </x:c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7" t="str">
        <x:v>C-013</x:v>
      </x:c>
      <x:c r="B17" s="47" t="str">
        <x:v>EmptyState</x:v>
      </x:c>
      <x:c r="C17" s="47" t="str">
        <x:v>nothing-due, no-content, no-search-results, no-data</x:v>
      </x:c>
      <x:c r="D17" s="47" t="str">
        <x:v>Never fabricate recommendation/completion.</x:v>
      </x:c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7" t="str">
        <x:v>C-014</x:v>
      </x:c>
      <x:c r="B18" s="47" t="str">
        <x:v>ErrorState</x:v>
      </x:c>
      <x:c r="C18" s="47" t="str">
        <x:v>retryable, non-retryable, reauth, canonical-refresh</x:v>
      </x:c>
      <x:c r="D18" s="47" t="str">
        <x:v>Recovery action must not create duplicate business command.</x:v>
      </x:c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7" t="str">
        <x:v>C-015</x:v>
      </x:c>
      <x:c r="B19" s="47" t="str">
        <x:v>ContentStatusBadge</x:v>
      </x:c>
      <x:c r="C19" s="47" t="str">
        <x:v>draft, in-review, approved, published, retired, revoked</x:v>
      </x:c>
      <x:c r="D19" s="47" t="str">
        <x:v>Published is immutable; edit action creates new draft/revision.</x:v>
      </x:c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7" t="str">
        <x:v>C-016</x:v>
      </x:c>
      <x:c r="B20" s="47" t="str">
        <x:v>ContentEditor</x:v>
      </x:c>
      <x:c r="C20" s="47" t="str">
        <x:v>clean, dirty, saving, saved, validation-error, conflict</x:v>
      </x:c>
      <x:c r="D20" s="47" t="str">
        <x:v>Source/license completeness shown before publish.</x:v>
      </x:c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7" t="str">
        <x:v>C-017</x:v>
      </x:c>
      <x:c r="B21" s="47" t="str">
        <x:v>DataTable</x:v>
      </x:c>
      <x:c r="C21" s="47" t="str">
        <x:v>loading, populated, empty, filtered, error</x:v>
      </x:c>
      <x:c r="D21" s="47" t="str">
        <x:v>Keyboard accessible; row action permission checked server-side later.</x:v>
      </x:c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7" t="str">
        <x:v>C-018</x:v>
      </x:c>
      <x:c r="B22" s="47" t="str">
        <x:v>ModalOrSheet</x:v>
      </x:c>
      <x:c r="C22" s="47" t="str">
        <x:v>open, processing, error</x:v>
      </x:c>
      <x:c r="D22" s="47" t="str">
        <x:v>Destructive/irreversible actions have explicit confirmation and result.</x:v>
      </x:c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325d57121464427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68" hidden="0" customWidth="1"/>
    <x:col min="3" max="3" width="46" hidden="0" customWidth="1"/>
    <x:col min="4" max="4" width="28" hidden="0" customWidth="1"/>
    <x:col min="5" max="5" width="38" hidden="0" customWidth="1"/>
  </x:cols>
  <x:sheetData>
    <x:row r="1" ht="28" customHeight="1">
      <x:c r="A1" s="4" t="str">
        <x:v>PRD → UX → QA TRACEABILITY</x:v>
      </x:c>
      <x:c r="B1" s="4"/>
      <x:c r="C1" s="4"/>
      <x:c r="D1" s="4"/>
      <x:c r="E1" s="4"/>
      <x:c r="F1" s="58"/>
      <x:c r="G1" s="58"/>
      <x:c r="H1" s="58"/>
      <x:c r="I1" s="58"/>
      <x:c r="J1" s="58"/>
      <x:c r="K1" s="58"/>
      <x:c r="L1" s="58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PRD-01..16 mapped to UX surfaces and named QA cases.</x:v>
      </x:c>
      <x:c r="B2" s="11"/>
      <x:c r="C2" s="11"/>
      <x:c r="D2" s="11"/>
      <x:c r="E2" s="11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PRD</x:v>
      </x:c>
      <x:c r="B4" s="46" t="str">
        <x:v>Requirement</x:v>
      </x:c>
      <x:c r="C4" s="46" t="str">
        <x:v>Screens</x:v>
      </x:c>
      <x:c r="D4" s="46" t="str">
        <x:v>Components</x:v>
      </x:c>
      <x:c r="E4" s="46" t="str">
        <x:v>QA cases</x:v>
      </x:c>
      <x:c r="F4" s="45"/>
      <x:c r="G4" s="45"/>
      <x:c r="H4" s="45"/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PRD-01</x:v>
      </x:c>
      <x:c r="B5" s="47" t="str">
        <x:v>Finite objective-based cycle with clear closure</x:v>
      </x:c>
      <x:c r="C5" s="47" t="str">
        <x:v>L-020,L-021,L-022,L-023,L-024,L-025,L-026,L-027,L-032</x:v>
      </x:c>
      <x:c r="D5" s="47" t="str">
        <x:v>C-007</x:v>
      </x:c>
      <x:c r="E5" s="47" t="str">
        <x:v>QA-LRN-001,QA-LRN-002,QA-LRN-012</x:v>
      </x:c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 t="str">
        <x:v>PRD-02</x:v>
      </x:c>
      <x:c r="B6" s="47" t="str">
        <x:v>First response preserved; guided retry in practice</x:v>
      </x:c>
      <x:c r="C6" s="47" t="str">
        <x:v>L-024,L-029</x:v>
      </x:c>
      <x:c r="D6" s="47" t="str">
        <x:v>C-003,C-005</x:v>
      </x:c>
      <x:c r="E6" s="47" t="str">
        <x:v>QA-LRN-006,QA-LRN-007</x:v>
      </x:c>
      <x:c r="F6" s="45"/>
      <x:c r="G6" s="45"/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 t="str">
        <x:v>PRD-03</x:v>
      </x:c>
      <x:c r="B7" s="47" t="str">
        <x:v>Typed hints; assisted != unaided; no pre-submit hint in Check</x:v>
      </x:c>
      <x:c r="C7" s="47" t="str">
        <x:v>L-024,L-027,L-030</x:v>
      </x:c>
      <x:c r="D7" s="47" t="str">
        <x:v>C-006</x:v>
      </x:c>
      <x:c r="E7" s="47" t="str">
        <x:v>QA-LRN-008,QA-LRN-013</x:v>
      </x:c>
      <x:c r="F7" s="45"/>
      <x:c r="G7" s="45"/>
      <x:c r="H7" s="45"/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 t="str">
        <x:v>PRD-04</x:v>
      </x:c>
      <x:c r="B8" s="47" t="str">
        <x:v>Skip logged; not completion/mastery</x:v>
      </x:c>
      <x:c r="C8" s="47" t="str">
        <x:v>L-022,L-024,L-031</x:v>
      </x:c>
      <x:c r="D8" s="47" t="str">
        <x:v>C-005</x:v>
      </x:c>
      <x:c r="E8" s="47" t="str">
        <x:v>QA-LRN-009,QA-BIZ-003</x:v>
      </x:c>
      <x:c r="F8" s="45"/>
      <x:c r="G8" s="45"/>
      <x:c r="H8" s="45"/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7" t="str">
        <x:v>PRD-05</x:v>
      </x:c>
      <x:c r="B9" s="47" t="str">
        <x:v>Listening replay support and assessment context</x:v>
      </x:c>
      <x:c r="C9" s="47" t="str">
        <x:v>L-005,L-023,L-027</x:v>
      </x:c>
      <x:c r="D9" s="47" t="str">
        <x:v>C-012</x:v>
      </x:c>
      <x:c r="E9" s="47" t="str">
        <x:v>QA-LRN-014,QA-BIZ-005</x:v>
      </x:c>
      <x:c r="F9" s="45"/>
      <x:c r="G9" s="45"/>
      <x:c r="H9" s="45"/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7" t="str">
        <x:v>PRD-06</x:v>
      </x:c>
      <x:c r="B10" s="47" t="str">
        <x:v>Vocabulary/grammar learning sequence</x:v>
      </x:c>
      <x:c r="C10" s="47" t="str">
        <x:v>L-023,L-024,L-025,L-027</x:v>
      </x:c>
      <x:c r="D10" s="47" t="str">
        <x:v>C-004</x:v>
      </x:c>
      <x:c r="E10" s="47" t="str">
        <x:v>QA-LRN-004,QA-LRN-005</x:v>
      </x:c>
      <x:c r="F10" s="45"/>
      <x:c r="G10" s="45"/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7" t="str">
        <x:v>PRD-07</x:v>
      </x:c>
      <x:c r="B11" s="47" t="str">
        <x:v>Bounded step-up challenge</x:v>
      </x:c>
      <x:c r="C11" s="47" t="str">
        <x:v>L-010,L-041</x:v>
      </x:c>
      <x:c r="D11" s="47" t="str">
        <x:v>C-008,C-011</x:v>
      </x:c>
      <x:c r="E11" s="47" t="str">
        <x:v>QA-BIZ-006</x:v>
      </x:c>
      <x:c r="F11" s="45"/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7" t="str">
        <x:v>PRD-08</x:v>
      </x:c>
      <x:c r="B12" s="47" t="str">
        <x:v>Learner focus with bounded due/prerequisite insertion</x:v>
      </x:c>
      <x:c r="C12" s="47" t="str">
        <x:v>L-010,L-021,L-022,L-041</x:v>
      </x:c>
      <x:c r="D12" s="47" t="str">
        <x:v>C-008</x:v>
      </x:c>
      <x:c r="E12" s="47" t="str">
        <x:v>QA-BIZ-007</x:v>
      </x:c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7" t="str">
        <x:v>PRD-09</x:v>
      </x:c>
      <x:c r="B13" s="47" t="str">
        <x:v>Optional short placement; provisional result</x:v>
      </x:c>
      <x:c r="C13" s="47" t="str">
        <x:v>L-004,L-005,L-006</x:v>
      </x:c>
      <x:c r="D13" s="47" t="str">
        <x:v>C-007</x:v>
      </x:c>
      <x:c r="E13" s="47" t="str">
        <x:v>QA-LRN-015,QA-LRN-016</x:v>
      </x:c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7" t="str">
        <x:v>PRD-10</x:v>
      </x:c>
      <x:c r="B14" s="47" t="str">
        <x:v>Optional goal; qualitative profile/evidence</x:v>
      </x:c>
      <x:c r="C14" s="47" t="str">
        <x:v>L-003,L-050,L-051,L-052</x:v>
      </x:c>
      <x:c r="D14" s="47" t="str">
        <x:v>C-010</x:v>
      </x:c>
      <x:c r="E14" s="47" t="str">
        <x:v>QA-LRN-017,QA-BIZ-008</x:v>
      </x:c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7" t="str">
        <x:v>PRD-11</x:v>
      </x:c>
      <x:c r="B15" s="47" t="str">
        <x:v>Daily target/streak distinct from mastery</x:v>
      </x:c>
      <x:c r="C15" s="47" t="str">
        <x:v>L-010,L-050</x:v>
      </x:c>
      <x:c r="D15" s="47" t="str">
        <x:v>C-010</x:v>
      </x:c>
      <x:c r="E15" s="47" t="str">
        <x:v>QA-BIZ-009</x:v>
      </x:c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7" t="str">
        <x:v>PRD-12</x:v>
      </x:c>
      <x:c r="B16" s="47" t="str">
        <x:v>Meaningful rewards only</x:v>
      </x:c>
      <x:c r="C16" s="47" t="str">
        <x:v>L-032,L-050</x:v>
      </x:c>
      <x:c r="D16" s="47" t="str">
        <x:v>C-010</x:v>
      </x:c>
      <x:c r="E16" s="47" t="str">
        <x:v>QA-BIZ-010</x:v>
      </x:c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7" t="str">
        <x:v>PRD-13</x:v>
      </x:c>
      <x:c r="B17" s="47" t="str">
        <x:v>Course map, locked preview, evidence-backed reason</x:v>
      </x:c>
      <x:c r="C17" s="47" t="str">
        <x:v>L-010,L-040,L-041,L-042</x:v>
      </x:c>
      <x:c r="D17" s="47" t="str">
        <x:v>C-008,C-011</x:v>
      </x:c>
      <x:c r="E17" s="47" t="str">
        <x:v>QA-LRN-018,QA-BIZ-011</x:v>
      </x:c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7" t="str">
        <x:v>PRD-14</x:v>
      </x:c>
      <x:c r="B18" s="47" t="str">
        <x:v>Licensed immutable content and revision pinning</x:v>
      </x:c>
      <x:c r="C18" s="47" t="str">
        <x:v>S-030,S-033,S-035,S-036,S-037,L-041</x:v>
      </x:c>
      <x:c r="D18" s="47" t="str">
        <x:v>C-015,C-016</x:v>
      </x:c>
      <x:c r="E18" s="47" t="str">
        <x:v>QA-STF-006,QA-STF-007,QA-BIZ-012</x:v>
      </x:c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7" t="str">
        <x:v>PRD-15</x:v>
      </x:c>
      <x:c r="B19" s="47" t="str">
        <x:v>Command/telemetry/lifecycle separation; offline idempotent/time semantics</x:v>
      </x:c>
      <x:c r="C19" s="47" t="str">
        <x:v>L-011,L-012,L-060,L-061,S-050</x:v>
      </x:c>
      <x:c r="D19" s="47" t="str">
        <x:v>C-009,C-014</x:v>
      </x:c>
      <x:c r="E19" s="47" t="str">
        <x:v>QA-OFF-001,QA-OFF-002,QA-OFF-004,QA-BIZ-013</x:v>
      </x:c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7" t="str">
        <x:v>PRD-16</x:v>
      </x:c>
      <x:c r="B20" s="47" t="str">
        <x:v>Usable deterministic fallback with ML/recommendation disabled</x:v>
      </x:c>
      <x:c r="C20" s="47" t="str">
        <x:v>L-010,L-020,L-063</x:v>
      </x:c>
      <x:c r="D20" s="47" t="str">
        <x:v>C-008,C-013</x:v>
      </x:c>
      <x:c r="E20" s="47" t="str">
        <x:v>QA-LRN-019,QA-BIZ-014</x:v>
      </x:c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20ee4fb728da4f1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24" hidden="0" customWidth="1"/>
    <x:col min="4" max="4" width="10" hidden="0" customWidth="1"/>
    <x:col min="5" max="5" width="12" hidden="0" customWidth="1"/>
    <x:col min="6" max="6" width="36" hidden="0" customWidth="1"/>
    <x:col min="7" max="7" width="38" hidden="0" customWidth="1"/>
    <x:col min="8" max="8" width="54" hidden="0" customWidth="1"/>
    <x:col min="9" max="9" width="58" hidden="0" customWidth="1"/>
    <x:col min="10" max="10" width="18" hidden="0" customWidth="1"/>
    <x:col min="11" max="11" width="16" hidden="0" customWidth="1"/>
    <x:col min="12" max="12" width="34" hidden="0" customWidth="1"/>
    <x:col min="13" max="13" width="16" hidden="0" customWidth="1"/>
    <x:col min="14" max="14" width="38" hidden="0" customWidth="1"/>
  </x:cols>
  <x:sheetData>
    <x:row r="1" ht="28" customHeight="1">
      <x:c r="A1" s="4" t="str">
        <x:v>PHASE 2 QA TEST CASES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QA updates Status/Owner/Evidence/Defect; never rewrite Expected just to pass.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Test ID</x:v>
      </x:c>
      <x:c r="B4" s="46" t="str">
        <x:v>Type</x:v>
      </x:c>
      <x:c r="C4" s="46" t="str">
        <x:v>Area</x:v>
      </x:c>
      <x:c r="D4" s="46" t="str">
        <x:v>Priority</x:v>
      </x:c>
      <x:c r="E4" s="46" t="str">
        <x:v>Requirement</x:v>
      </x:c>
      <x:c r="F4" s="46" t="str">
        <x:v>Title</x:v>
      </x:c>
      <x:c r="G4" s="46" t="str">
        <x:v>Precondition</x:v>
      </x:c>
      <x:c r="H4" s="46" t="str">
        <x:v>Steps</x:v>
      </x:c>
      <x:c r="I4" s="46" t="str">
        <x:v>Expected</x:v>
      </x:c>
      <x:c r="J4" s="46" t="str">
        <x:v>Owner</x:v>
      </x:c>
      <x:c r="K4" s="46" t="str">
        <x:v>Status</x:v>
      </x:c>
      <x:c r="L4" s="46" t="str">
        <x:v>Evidence</x:v>
      </x:c>
      <x:c r="M4" s="46" t="str">
        <x:v>Defect</x:v>
      </x:c>
      <x:c r="N4" s="46" t="str">
        <x:v>Retest note</x:v>
      </x:c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QC-001</x:v>
      </x:c>
      <x:c r="B5" s="47" t="str">
        <x:v>QC</x:v>
      </x:c>
      <x:c r="C5" s="47" t="str">
        <x:v>Artifact QC</x:v>
      </x:c>
      <x:c r="D5" s="47" t="str">
        <x:v>P0</x:v>
      </x:c>
      <x:c r="E5" s="47" t="str"/>
      <x:c r="F5" s="47" t="str">
        <x:v>Required Phase 2 artifacts exist</x:v>
      </x:c>
      <x:c r="G5" s="47" t="str">
        <x:v>Phase 2 package extracted</x:v>
      </x:c>
      <x:c r="H5" s="47" t="str">
        <x:v>Inspect relevant artifacts.</x:v>
      </x:c>
      <x:c r="I5" s="47" t="str">
        <x:v>Every file in handoff index exists and opens.</x:v>
      </x:c>
      <x:c r="J5" s="47" t="str">
        <x:v>Codex</x:v>
      </x:c>
      <x:c r="K5" s="47" t="str">
        <x:v>PASS</x:v>
      </x:c>
      <x:c r="L5" s="47" t="str">
        <x:v>evidence/codex/review/QC-001.json</x:v>
      </x:c>
      <x:c r="M5" s="47" t="str"/>
      <x:c r="N5" s="47" t="str">
        <x:v>Execution PASS; independent QA pending.</x:v>
      </x:c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 t="str">
        <x:v>QC-002</x:v>
      </x:c>
      <x:c r="B6" s="47" t="str">
        <x:v>QC</x:v>
      </x:c>
      <x:c r="C6" s="47" t="str">
        <x:v>Artifact QC</x:v>
      </x:c>
      <x:c r="D6" s="47" t="str">
        <x:v>P0</x:v>
      </x:c>
      <x:c r="E6" s="47" t="str"/>
      <x:c r="F6" s="47" t="str">
        <x:v>V3.2 remains untouched</x:v>
      </x:c>
      <x:c r="G6" s="47" t="str">
        <x:v>Phase 2 package extracted</x:v>
      </x:c>
      <x:c r="H6" s="47" t="str">
        <x:v>Inspect relevant artifacts.</x:v>
      </x:c>
      <x:c r="I6" s="47" t="str">
        <x:v>No Phase 2 artifact silently modifies original V3.2 source.</x:v>
      </x:c>
      <x:c r="J6" s="47" t="str">
        <x:v>Codex</x:v>
      </x:c>
      <x:c r="K6" s="47" t="str">
        <x:v>PASS</x:v>
      </x:c>
      <x:c r="L6" s="47" t="str">
        <x:v>evidence/codex/review/QC-002.json</x:v>
      </x:c>
      <x:c r="M6" s="47" t="str"/>
      <x:c r="N6" s="47" t="str">
        <x:v>Execution PASS; independent QA pending.</x:v>
      </x:c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 t="str">
        <x:v>QC-003</x:v>
      </x:c>
      <x:c r="B7" s="47" t="str">
        <x:v>QC</x:v>
      </x:c>
      <x:c r="C7" s="47" t="str">
        <x:v>Artifact QC</x:v>
      </x:c>
      <x:c r="D7" s="47" t="str">
        <x:v>P0</x:v>
      </x:c>
      <x:c r="E7" s="47" t="str"/>
      <x:c r="F7" s="47" t="str">
        <x:v>Phase boundary is explicit</x:v>
      </x:c>
      <x:c r="G7" s="47" t="str">
        <x:v>Phase 2 package extracted</x:v>
      </x:c>
      <x:c r="H7" s="47" t="str">
        <x:v>Inspect relevant artifacts.</x:v>
      </x:c>
      <x:c r="I7" s="47" t="str">
        <x:v>Docs identify Phase 3+ behavior as future/deferred, not implemented.</x:v>
      </x:c>
      <x:c r="J7" s="47" t="str">
        <x:v>Codex</x:v>
      </x:c>
      <x:c r="K7" s="47" t="str">
        <x:v>PASS</x:v>
      </x:c>
      <x:c r="L7" s="47" t="str">
        <x:v>evidence/codex/review/QC-003.json</x:v>
      </x:c>
      <x:c r="M7" s="47" t="str"/>
      <x:c r="N7" s="47" t="str">
        <x:v>Execution PASS; independent QA pending.</x:v>
      </x:c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 t="str">
        <x:v>QC-004</x:v>
      </x:c>
      <x:c r="B8" s="47" t="str">
        <x:v>QC</x:v>
      </x:c>
      <x:c r="C8" s="47" t="str">
        <x:v>Artifact QC</x:v>
      </x:c>
      <x:c r="D8" s="47" t="str">
        <x:v>P0</x:v>
      </x:c>
      <x:c r="E8" s="47" t="str"/>
      <x:c r="F8" s="47" t="str">
        <x:v>Screen IDs unique</x:v>
      </x:c>
      <x:c r="G8" s="47" t="str">
        <x:v>Phase 2 package extracted</x:v>
      </x:c>
      <x:c r="H8" s="47" t="str">
        <x:v>Inspect relevant artifacts.</x:v>
      </x:c>
      <x:c r="I8" s="47" t="str">
        <x:v>All learner/staff screen IDs are unique and traceable.</x:v>
      </x:c>
      <x:c r="J8" s="47" t="str">
        <x:v>Codex</x:v>
      </x:c>
      <x:c r="K8" s="47" t="str">
        <x:v>PASS</x:v>
      </x:c>
      <x:c r="L8" s="47" t="str">
        <x:v>evidence/codex/review/QC-004.json</x:v>
      </x:c>
      <x:c r="M8" s="47" t="str"/>
      <x:c r="N8" s="47" t="str">
        <x:v>Execution PASS; independent QA pending.</x:v>
      </x:c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7" t="str">
        <x:v>QC-005</x:v>
      </x:c>
      <x:c r="B9" s="47" t="str">
        <x:v>QC</x:v>
      </x:c>
      <x:c r="C9" s="47" t="str">
        <x:v>Artifact QC</x:v>
      </x:c>
      <x:c r="D9" s="47" t="str">
        <x:v>P0</x:v>
      </x:c>
      <x:c r="E9" s="47" t="str"/>
      <x:c r="F9" s="47" t="str">
        <x:v>Routes documented</x:v>
      </x:c>
      <x:c r="G9" s="47" t="str">
        <x:v>Phase 2 package extracted</x:v>
      </x:c>
      <x:c r="H9" s="47" t="str">
        <x:v>Inspect relevant artifacts.</x:v>
      </x:c>
      <x:c r="I9" s="47" t="str">
        <x:v>Every inventory screen has a route or overlay identity.</x:v>
      </x:c>
      <x:c r="J9" s="47" t="str">
        <x:v>Codex</x:v>
      </x:c>
      <x:c r="K9" s="47" t="str">
        <x:v>PASS</x:v>
      </x:c>
      <x:c r="L9" s="47" t="str">
        <x:v>evidence/codex/review/QC-005.json</x:v>
      </x:c>
      <x:c r="M9" s="47" t="str"/>
      <x:c r="N9" s="47" t="str">
        <x:v>Execution PASS; independent QA pending.</x:v>
      </x:c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7" t="str">
        <x:v>QC-006</x:v>
      </x:c>
      <x:c r="B10" s="47" t="str">
        <x:v>QC</x:v>
      </x:c>
      <x:c r="C10" s="47" t="str">
        <x:v>Artifact QC</x:v>
      </x:c>
      <x:c r="D10" s="47" t="str">
        <x:v>P0</x:v>
      </x:c>
      <x:c r="E10" s="47" t="str"/>
      <x:c r="F10" s="47" t="str">
        <x:v>PRD traceability complete</x:v>
      </x:c>
      <x:c r="G10" s="47" t="str">
        <x:v>Phase 2 package extracted</x:v>
      </x:c>
      <x:c r="H10" s="47" t="str">
        <x:v>Inspect relevant artifacts.</x:v>
      </x:c>
      <x:c r="I10" s="47" t="str">
        <x:v>PRD-01..PRD-16 all map to UX surfaces and QA cases.</x:v>
      </x:c>
      <x:c r="J10" s="47" t="str">
        <x:v>Codex</x:v>
      </x:c>
      <x:c r="K10" s="47" t="str">
        <x:v>PASS</x:v>
      </x:c>
      <x:c r="L10" s="47" t="str">
        <x:v>evidence/codex/review/QC-006.json</x:v>
      </x:c>
      <x:c r="M10" s="47" t="str"/>
      <x:c r="N10" s="47" t="str">
        <x:v>Execution PASS; independent QA pending.</x:v>
      </x:c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7" t="str">
        <x:v>QC-007</x:v>
      </x:c>
      <x:c r="B11" s="47" t="str">
        <x:v>QC</x:v>
      </x:c>
      <x:c r="C11" s="47" t="str">
        <x:v>Artifact QC</x:v>
      </x:c>
      <x:c r="D11" s="47" t="str">
        <x:v>P0</x:v>
      </x:c>
      <x:c r="E11" s="47" t="str"/>
      <x:c r="F11" s="47" t="str">
        <x:v>Locked vs hypothesis language</x:v>
      </x:c>
      <x:c r="G11" s="47" t="str">
        <x:v>Phase 2 package extracted</x:v>
      </x:c>
      <x:c r="H11" s="47" t="str">
        <x:v>Inspect relevant artifacts.</x:v>
      </x:c>
      <x:c r="I11" s="47" t="str">
        <x:v>5m/retry/replay/placement thresholds are labelled hypotheses where applicable.</x:v>
      </x:c>
      <x:c r="J11" s="47" t="str">
        <x:v>Codex</x:v>
      </x:c>
      <x:c r="K11" s="47" t="str">
        <x:v>PASS</x:v>
      </x:c>
      <x:c r="L11" s="47" t="str">
        <x:v>evidence/codex/review/QC-007.json</x:v>
      </x:c>
      <x:c r="M11" s="47" t="str"/>
      <x:c r="N11" s="47" t="str">
        <x:v>Execution PASS; independent QA pending.</x:v>
      </x:c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7" t="str">
        <x:v>QC-008</x:v>
      </x:c>
      <x:c r="B12" s="47" t="str">
        <x:v>QC</x:v>
      </x:c>
      <x:c r="C12" s="47" t="str">
        <x:v>Artifact QC</x:v>
      </x:c>
      <x:c r="D12" s="47" t="str">
        <x:v>P0</x:v>
      </x:c>
      <x:c r="E12" s="47" t="str"/>
      <x:c r="F12" s="47" t="str">
        <x:v>No false learning claims</x:v>
      </x:c>
      <x:c r="G12" s="47" t="str">
        <x:v>Phase 2 package extracted</x:v>
      </x:c>
      <x:c r="H12" s="47" t="str">
        <x:v>Inspect relevant artifacts.</x:v>
      </x:c>
      <x:c r="I12" s="47" t="str">
        <x:v>No precise mastery/diagnosis/efficacy claim appears in learner copy.</x:v>
      </x:c>
      <x:c r="J12" s="47" t="str">
        <x:v>Codex</x:v>
      </x:c>
      <x:c r="K12" s="47" t="str">
        <x:v>PASS</x:v>
      </x:c>
      <x:c r="L12" s="47" t="str">
        <x:v>evidence/codex/review/QC-008.json</x:v>
      </x:c>
      <x:c r="M12" s="47" t="str"/>
      <x:c r="N12" s="47" t="str">
        <x:v>Execution PASS; independent QA pending.</x:v>
      </x:c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7" t="str">
        <x:v>QC-009</x:v>
      </x:c>
      <x:c r="B13" s="47" t="str">
        <x:v>QC</x:v>
      </x:c>
      <x:c r="C13" s="47" t="str">
        <x:v>Artifact QC</x:v>
      </x:c>
      <x:c r="D13" s="47" t="str">
        <x:v>P0</x:v>
      </x:c>
      <x:c r="E13" s="47" t="str"/>
      <x:c r="F13" s="47" t="str">
        <x:v>No credential material</x:v>
      </x:c>
      <x:c r="G13" s="47" t="str">
        <x:v>Phase 2 package extracted</x:v>
      </x:c>
      <x:c r="H13" s="47" t="str">
        <x:v>Inspect relevant artifacts.</x:v>
      </x:c>
      <x:c r="I13" s="47" t="str">
        <x:v>No password/token/secret URL in Phase 2 package.</x:v>
      </x:c>
      <x:c r="J13" s="47" t="str">
        <x:v>Codex</x:v>
      </x:c>
      <x:c r="K13" s="47" t="str">
        <x:v>PASS</x:v>
      </x:c>
      <x:c r="L13" s="47" t="str">
        <x:v>evidence/codex/review/QC-009.json</x:v>
      </x:c>
      <x:c r="M13" s="47" t="str"/>
      <x:c r="N13" s="47" t="str">
        <x:v>Execution PASS; independent QA pending.</x:v>
      </x:c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7" t="str">
        <x:v>QC-010</x:v>
      </x:c>
      <x:c r="B14" s="47" t="str">
        <x:v>QC</x:v>
      </x:c>
      <x:c r="C14" s="47" t="str">
        <x:v>Artifact QC</x:v>
      </x:c>
      <x:c r="D14" s="47" t="str">
        <x:v>P0</x:v>
      </x:c>
      <x:c r="E14" s="47" t="str"/>
      <x:c r="F14" s="47" t="str">
        <x:v>Prototype is self-contained</x:v>
      </x:c>
      <x:c r="G14" s="47" t="str">
        <x:v>Phase 2 package extracted</x:v>
      </x:c>
      <x:c r="H14" s="47" t="str">
        <x:v>Inspect relevant artifacts.</x:v>
      </x:c>
      <x:c r="I14" s="47" t="str">
        <x:v>No external CDN/network dependency is required to render prototype.</x:v>
      </x:c>
      <x:c r="J14" s="47" t="str">
        <x:v>Codex</x:v>
      </x:c>
      <x:c r="K14" s="47" t="str">
        <x:v>PASS</x:v>
      </x:c>
      <x:c r="L14" s="47" t="str">
        <x:v>evidence/codex/review/QC-010.json</x:v>
      </x:c>
      <x:c r="M14" s="47" t="str"/>
      <x:c r="N14" s="47" t="str">
        <x:v>Execution PASS; independent QA pending.</x:v>
      </x:c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7" t="str">
        <x:v>QA-NAV-001</x:v>
      </x:c>
      <x:c r="B15" s="47" t="str">
        <x:v>QA</x:v>
      </x:c>
      <x:c r="C15" s="47" t="str">
        <x:v>Navigation/IA</x:v>
      </x:c>
      <x:c r="D15" s="47" t="str">
        <x:v>P1</x:v>
      </x:c>
      <x:c r="E15" s="47" t="str"/>
      <x:c r="F15" s="47" t="str">
        <x:v>Learner top-level IA</x:v>
      </x:c>
      <x:c r="G15" s="47" t="str">
        <x:v>Prototype available</x:v>
      </x:c>
      <x:c r="H15" s="47" t="str">
        <x:v>Open prototype learner shell.</x:v>
      </x:c>
      <x:c r="I15" s="47" t="str">
        <x:v>Bottom navigation exposes only Home, Learn, Course, Profile.</x:v>
      </x:c>
      <x:c r="J15" s="47" t="str">
        <x:v>Codex</x:v>
      </x:c>
      <x:c r="K15" s="47" t="str">
        <x:v>PASS</x:v>
      </x:c>
      <x:c r="L15" s="47" t="str">
        <x:v>evidence/codex/browser/QA-NAV-001.json</x:v>
      </x:c>
      <x:c r="M15" s="47" t="str"/>
      <x:c r="N15" s="47" t="str">
        <x:v>Execution PASS; independent QA pending.</x:v>
      </x:c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7" t="str">
        <x:v>QA-NAV-002</x:v>
      </x:c>
      <x:c r="B16" s="47" t="str">
        <x:v>QA</x:v>
      </x:c>
      <x:c r="C16" s="47" t="str">
        <x:v>Navigation/IA</x:v>
      </x:c>
      <x:c r="D16" s="47" t="str">
        <x:v>P1</x:v>
      </x:c>
      <x:c r="E16" s="47" t="str"/>
      <x:c r="F16" s="47" t="str">
        <x:v>Onboarding outside main shell</x:v>
      </x:c>
      <x:c r="G16" s="47" t="str">
        <x:v>Prototype available</x:v>
      </x:c>
      <x:c r="H16" s="47" t="str">
        <x:v>Open Welcome/Goal/Placement.</x:v>
      </x:c>
      <x:c r="I16" s="47" t="str">
        <x:v>Main bottom navigation is absent until main shell.</x:v>
      </x:c>
      <x:c r="J16" s="47" t="str">
        <x:v>Codex</x:v>
      </x:c>
      <x:c r="K16" s="47" t="str">
        <x:v>PASS</x:v>
      </x:c>
      <x:c r="L16" s="47" t="str">
        <x:v>evidence/codex/browser/QA-NAV-002.json</x:v>
      </x:c>
      <x:c r="M16" s="47" t="str">
        <x:v>P2-D007</x:v>
      </x:c>
      <x:c r="N16" s="47" t="str">
        <x:v>Execution PASS; independent QA pending.</x:v>
      </x:c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7" t="str">
        <x:v>QA-NAV-003</x:v>
      </x:c>
      <x:c r="B17" s="47" t="str">
        <x:v>QA</x:v>
      </x:c>
      <x:c r="C17" s="47" t="str">
        <x:v>Navigation/IA</x:v>
      </x:c>
      <x:c r="D17" s="47" t="str">
        <x:v>P1</x:v>
      </x:c>
      <x:c r="E17" s="47" t="str"/>
      <x:c r="F17" s="47" t="str">
        <x:v>Home purpose</x:v>
      </x:c>
      <x:c r="G17" s="47" t="str">
        <x:v>Prototype available</x:v>
      </x:c>
      <x:c r="H17" s="47" t="str">
        <x:v>Open Home.</x:v>
      </x:c>
      <x:c r="I17" s="47" t="str">
        <x:v>Primary next action, reason and approximate duration are understandable.</x:v>
      </x:c>
      <x:c r="J17" s="47" t="str">
        <x:v>Codex</x:v>
      </x:c>
      <x:c r="K17" s="47" t="str">
        <x:v>PASS</x:v>
      </x:c>
      <x:c r="L17" s="47" t="str">
        <x:v>evidence/codex/browser/QA-NAV-003.json</x:v>
      </x:c>
      <x:c r="M17" s="47" t="str"/>
      <x:c r="N17" s="47" t="str">
        <x:v>Execution PASS; independent QA pending.</x:v>
      </x:c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7" t="str">
        <x:v>QA-NAV-004</x:v>
      </x:c>
      <x:c r="B18" s="47" t="str">
        <x:v>QA</x:v>
      </x:c>
      <x:c r="C18" s="47" t="str">
        <x:v>Navigation/IA</x:v>
      </x:c>
      <x:c r="D18" s="47" t="str">
        <x:v>P1</x:v>
      </x:c>
      <x:c r="E18" s="47" t="str"/>
      <x:c r="F18" s="47" t="str">
        <x:v>Learn purpose</x:v>
      </x:c>
      <x:c r="G18" s="47" t="str">
        <x:v>Prototype available</x:v>
      </x:c>
      <x:c r="H18" s="47" t="str">
        <x:v>Open Learn.</x:v>
      </x:c>
      <x:c r="I18" s="47" t="str">
        <x:v>Finite cycle start/resume is prominent; no endless-feed affordance.</x:v>
      </x:c>
      <x:c r="J18" s="47" t="str">
        <x:v>Codex</x:v>
      </x:c>
      <x:c r="K18" s="47" t="str">
        <x:v>PASS</x:v>
      </x:c>
      <x:c r="L18" s="47" t="str">
        <x:v>evidence/codex/browser/QA-NAV-004.json</x:v>
      </x:c>
      <x:c r="M18" s="47" t="str"/>
      <x:c r="N18" s="47" t="str">
        <x:v>Execution PASS; independent QA pending.</x:v>
      </x:c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7" t="str">
        <x:v>QA-NAV-005</x:v>
      </x:c>
      <x:c r="B19" s="47" t="str">
        <x:v>QA</x:v>
      </x:c>
      <x:c r="C19" s="47" t="str">
        <x:v>Navigation/IA</x:v>
      </x:c>
      <x:c r="D19" s="47" t="str">
        <x:v>P1</x:v>
      </x:c>
      <x:c r="E19" s="47" t="str"/>
      <x:c r="F19" s="47" t="str">
        <x:v>Course purpose</x:v>
      </x:c>
      <x:c r="G19" s="47" t="str">
        <x:v>Prototype available</x:v>
      </x:c>
      <x:c r="H19" s="47" t="str">
        <x:v>Open Course.</x:v>
      </x:c>
      <x:c r="I19" s="47" t="str">
        <x:v>Open/current/due/locked/preview states are distinguishable.</x:v>
      </x:c>
      <x:c r="J19" s="47" t="str">
        <x:v>Codex</x:v>
      </x:c>
      <x:c r="K19" s="47" t="str">
        <x:v>PASS</x:v>
      </x:c>
      <x:c r="L19" s="47" t="str">
        <x:v>evidence/codex/browser/QA-NAV-005.json</x:v>
      </x:c>
      <x:c r="M19" s="47" t="str"/>
      <x:c r="N19" s="47" t="str">
        <x:v>Execution PASS; independent QA pending.</x:v>
      </x:c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7" t="str">
        <x:v>QA-NAV-006</x:v>
      </x:c>
      <x:c r="B20" s="47" t="str">
        <x:v>QA</x:v>
      </x:c>
      <x:c r="C20" s="47" t="str">
        <x:v>Navigation/IA</x:v>
      </x:c>
      <x:c r="D20" s="47" t="str">
        <x:v>P1</x:v>
      </x:c>
      <x:c r="E20" s="47" t="str"/>
      <x:c r="F20" s="47" t="str">
        <x:v>Profile purpose</x:v>
      </x:c>
      <x:c r="G20" s="47" t="str">
        <x:v>Prototype available</x:v>
      </x:c>
      <x:c r="H20" s="47" t="str">
        <x:v>Open Profile.</x:v>
      </x:c>
      <x:c r="I20" s="47" t="str">
        <x:v>Goal, qualitative evidence and settings are separated from mastery claims.</x:v>
      </x:c>
      <x:c r="J20" s="47" t="str">
        <x:v>Codex</x:v>
      </x:c>
      <x:c r="K20" s="47" t="str">
        <x:v>PASS</x:v>
      </x:c>
      <x:c r="L20" s="47" t="str">
        <x:v>evidence/codex/browser/QA-NAV-006.json</x:v>
      </x:c>
      <x:c r="M20" s="47" t="str"/>
      <x:c r="N20" s="47" t="str">
        <x:v>Execution PASS; independent QA pending.</x:v>
      </x:c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7" t="str">
        <x:v>QA-NAV-007</x:v>
      </x:c>
      <x:c r="B21" s="47" t="str">
        <x:v>QA</x:v>
      </x:c>
      <x:c r="C21" s="47" t="str">
        <x:v>Navigation/IA</x:v>
      </x:c>
      <x:c r="D21" s="47" t="str">
        <x:v>P1</x:v>
      </x:c>
      <x:c r="E21" s="47" t="str"/>
      <x:c r="F21" s="47" t="str">
        <x:v>Staff IA</x:v>
      </x:c>
      <x:c r="G21" s="47" t="str">
        <x:v>Prototype available</x:v>
      </x:c>
      <x:c r="H21" s="47" t="str">
        <x:v>Switch to staff surface.</x:v>
      </x:c>
      <x:c r="I21" s="47" t="str">
        <x:v>Sidebar has Dashboard, Learners, Content, Interventions, Analytics, Administration.</x:v>
      </x:c>
      <x:c r="J21" s="47" t="str">
        <x:v>Codex</x:v>
      </x:c>
      <x:c r="K21" s="47" t="str">
        <x:v>PASS</x:v>
      </x:c>
      <x:c r="L21" s="47" t="str">
        <x:v>evidence/codex/browser/QA-NAV-007.json</x:v>
      </x:c>
      <x:c r="M21" s="47" t="str"/>
      <x:c r="N21" s="47" t="str">
        <x:v>Execution PASS; independent QA pending.</x:v>
      </x:c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7" t="str">
        <x:v>QA-NAV-008</x:v>
      </x:c>
      <x:c r="B22" s="47" t="str">
        <x:v>QA</x:v>
      </x:c>
      <x:c r="C22" s="47" t="str">
        <x:v>Navigation/IA</x:v>
      </x:c>
      <x:c r="D22" s="47" t="str">
        <x:v>P1</x:v>
      </x:c>
      <x:c r="E22" s="47" t="str"/>
      <x:c r="F22" s="47" t="str">
        <x:v>Publishing nested in Content</x:v>
      </x:c>
      <x:c r="G22" s="47" t="str">
        <x:v>Prototype available</x:v>
      </x:c>
      <x:c r="H22" s="47" t="str">
        <x:v>Open Content.</x:v>
      </x:c>
      <x:c r="I22" s="47" t="str">
        <x:v>Publishing states are within Content lifecycle, not separate top-level product domain.</x:v>
      </x:c>
      <x:c r="J22" s="47" t="str">
        <x:v>Codex</x:v>
      </x:c>
      <x:c r="K22" s="47" t="str">
        <x:v>PASS</x:v>
      </x:c>
      <x:c r="L22" s="47" t="str">
        <x:v>evidence/codex/browser/QA-NAV-008.json</x:v>
      </x:c>
      <x:c r="M22" s="47" t="str"/>
      <x:c r="N22" s="47" t="str">
        <x:v>Execution PASS; independent QA pending.</x:v>
      </x:c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7" t="str">
        <x:v>QA-NAV-009</x:v>
      </x:c>
      <x:c r="B23" s="47" t="str">
        <x:v>QA</x:v>
      </x:c>
      <x:c r="C23" s="47" t="str">
        <x:v>Navigation/IA</x:v>
      </x:c>
      <x:c r="D23" s="47" t="str">
        <x:v>P1</x:v>
      </x:c>
      <x:c r="E23" s="47" t="str"/>
      <x:c r="F23" s="47" t="str">
        <x:v>Role visibility disclaimer</x:v>
      </x:c>
      <x:c r="G23" s="47" t="str">
        <x:v>Prototype available</x:v>
      </x:c>
      <x:c r="H23" s="47" t="str">
        <x:v>Inspect staff spec.</x:v>
      </x:c>
      <x:c r="I23" s="47" t="str">
        <x:v>Docs state menu visibility is not authorization.</x:v>
      </x:c>
      <x:c r="J23" s="47" t="str">
        <x:v>Codex</x:v>
      </x:c>
      <x:c r="K23" s="47" t="str">
        <x:v>PASS</x:v>
      </x:c>
      <x:c r="L23" s="47" t="str">
        <x:v>evidence/codex/review/QA-NAV-009.json</x:v>
      </x:c>
      <x:c r="M23" s="47" t="str"/>
      <x:c r="N23" s="47" t="str">
        <x:v>Execution PASS; independent QA pending.</x:v>
      </x:c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7" t="str">
        <x:v>QA-NAV-010</x:v>
      </x:c>
      <x:c r="B24" s="47" t="str">
        <x:v>QA</x:v>
      </x:c>
      <x:c r="C24" s="47" t="str">
        <x:v>Navigation/IA</x:v>
      </x:c>
      <x:c r="D24" s="47" t="str">
        <x:v>P1</x:v>
      </x:c>
      <x:c r="E24" s="47" t="str"/>
      <x:c r="F24" s="47" t="str">
        <x:v>Deep-link constraints</x:v>
      </x:c>
      <x:c r="G24" s="47" t="str">
        <x:v>Prototype available</x:v>
      </x:c>
      <x:c r="H24" s="47" t="str">
        <x:v>Inspect routing spec.</x:v>
      </x:c>
      <x:c r="I24" s="47" t="str">
        <x:v>Deep-link rules require eligibility/permission re-check and no duplicate submit.</x:v>
      </x:c>
      <x:c r="J24" s="47" t="str">
        <x:v>Codex</x:v>
      </x:c>
      <x:c r="K24" s="47" t="str">
        <x:v>PASS</x:v>
      </x:c>
      <x:c r="L24" s="47" t="str">
        <x:v>evidence/codex/review/QA-NAV-010.json</x:v>
      </x:c>
      <x:c r="M24" s="47" t="str"/>
      <x:c r="N24" s="47" t="str">
        <x:v>Execution PASS; independent QA pending.</x:v>
      </x:c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7" t="str">
        <x:v>QA-LRN-001</x:v>
      </x:c>
      <x:c r="B25" s="47" t="str">
        <x:v>QA</x:v>
      </x:c>
      <x:c r="C25" s="47" t="str">
        <x:v>Learner</x:v>
      </x:c>
      <x:c r="D25" s="47" t="str">
        <x:v>P0</x:v>
      </x:c>
      <x:c r="E25" s="47" t="str">
        <x:v>PRD-01</x:v>
      </x:c>
      <x:c r="F25" s="47" t="str">
        <x:v>Start finite cycle</x:v>
      </x:c>
      <x:c r="G25" s="47" t="str">
        <x:v>Home shows a recommendation</x:v>
      </x:c>
      <x:c r="H25" s="47" t="str">
        <x:v>Select Start cycle and continue through roles.</x:v>
      </x:c>
      <x:c r="I25" s="47" t="str">
        <x:v>Cycle has explicit intro, roles and summary; user explicitly chooses whether to continue.</x:v>
      </x:c>
      <x:c r="J25" s="47" t="str">
        <x:v>Codex</x:v>
      </x:c>
      <x:c r="K25" s="47" t="str">
        <x:v>PASS</x:v>
      </x:c>
      <x:c r="L25" s="47" t="str">
        <x:v>evidence/codex/browser/QA-LRN-001.json</x:v>
      </x:c>
      <x:c r="M25" s="47" t="str"/>
      <x:c r="N25" s="47" t="str">
        <x:v>Execution PASS; independent QA pending.</x:v>
      </x:c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7" t="str">
        <x:v>QA-LRN-002</x:v>
      </x:c>
      <x:c r="B26" s="47" t="str">
        <x:v>QA</x:v>
      </x:c>
      <x:c r="C26" s="47" t="str">
        <x:v>Learner</x:v>
      </x:c>
      <x:c r="D26" s="47" t="str">
        <x:v>P1</x:v>
      </x:c>
      <x:c r="E26" s="47" t="str">
        <x:v>PRD-01</x:v>
      </x:c>
      <x:c r="F26" s="47" t="str">
        <x:v>Cycle progress visibility</x:v>
      </x:c>
      <x:c r="G26" s="47" t="str">
        <x:v>Inside cycle</x:v>
      </x:c>
      <x:c r="H26" s="47" t="str">
        <x:v>Observe progress indicator across steps.</x:v>
      </x:c>
      <x:c r="I26" s="47" t="str">
        <x:v>Finite progress is visible and never suggests infinite scroll.</x:v>
      </x:c>
      <x:c r="J26" s="47" t="str">
        <x:v>Codex</x:v>
      </x:c>
      <x:c r="K26" s="47" t="str">
        <x:v>PASS</x:v>
      </x:c>
      <x:c r="L26" s="47" t="str">
        <x:v>evidence/codex/browser/QA-LRN-002.json</x:v>
      </x:c>
      <x:c r="M26" s="47" t="str"/>
      <x:c r="N26" s="47" t="str">
        <x:v>Execution PASS; independent QA pending.</x:v>
      </x:c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7" t="str">
        <x:v>QA-LRN-003</x:v>
      </x:c>
      <x:c r="B27" s="47" t="str">
        <x:v>QA</x:v>
      </x:c>
      <x:c r="C27" s="47" t="str">
        <x:v>Learner</x:v>
      </x:c>
      <x:c r="D27" s="47" t="str">
        <x:v>P1</x:v>
      </x:c>
      <x:c r="E27" s="47" t="str">
        <x:v>PRD-13</x:v>
      </x:c>
      <x:c r="F27" s="47" t="str">
        <x:v>Objective and reason</x:v>
      </x:c>
      <x:c r="G27" s="47" t="str">
        <x:v>Home/cycle intro</x:v>
      </x:c>
      <x:c r="H27" s="47" t="str">
        <x:v>Inspect recommendation/cycle intro copy.</x:v>
      </x:c>
      <x:c r="I27" s="47" t="str">
        <x:v>Objective and factual reason are visible; no inferred mental state.</x:v>
      </x:c>
      <x:c r="J27" s="47" t="str">
        <x:v>Codex</x:v>
      </x:c>
      <x:c r="K27" s="47" t="str">
        <x:v>PASS</x:v>
      </x:c>
      <x:c r="L27" s="47" t="str">
        <x:v>evidence/codex/browser/QA-LRN-003.json</x:v>
      </x:c>
      <x:c r="M27" s="47" t="str"/>
      <x:c r="N27" s="47" t="str">
        <x:v>Execution PASS; independent QA pending.</x:v>
      </x:c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7" t="str">
        <x:v>QA-LRN-004</x:v>
      </x:c>
      <x:c r="B28" s="47" t="str">
        <x:v>QA</x:v>
      </x:c>
      <x:c r="C28" s="47" t="str">
        <x:v>Learner</x:v>
      </x:c>
      <x:c r="D28" s="47" t="str">
        <x:v>P1</x:v>
      </x:c>
      <x:c r="E28" s="47" t="str">
        <x:v>PRD-06</x:v>
      </x:c>
      <x:c r="F28" s="47" t="str">
        <x:v>Learn content is not mastery</x:v>
      </x:c>
      <x:c r="G28" s="47" t="str">
        <x:v>Open Learn content step</x:v>
      </x:c>
      <x:c r="H28" s="47" t="str">
        <x:v>Read explanation and continue.</x:v>
      </x:c>
      <x:c r="I28" s="47" t="str">
        <x:v>UI does not mark objective mastered just for viewing explanation.</x:v>
      </x:c>
      <x:c r="J28" s="47" t="str">
        <x:v>Codex</x:v>
      </x:c>
      <x:c r="K28" s="47" t="str">
        <x:v>PASS</x:v>
      </x:c>
      <x:c r="L28" s="47" t="str">
        <x:v>evidence/codex/browser/QA-LRN-004.json</x:v>
      </x:c>
      <x:c r="M28" s="47" t="str"/>
      <x:c r="N28" s="47" t="str">
        <x:v>Execution PASS; independent QA pending.</x:v>
      </x:c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7" t="str">
        <x:v>QA-LRN-005</x:v>
      </x:c>
      <x:c r="B29" s="47" t="str">
        <x:v>QA</x:v>
      </x:c>
      <x:c r="C29" s="47" t="str">
        <x:v>Learner</x:v>
      </x:c>
      <x:c r="D29" s="47" t="str">
        <x:v>P1</x:v>
      </x:c>
      <x:c r="E29" s="47" t="str">
        <x:v>PRD-02</x:v>
      </x:c>
      <x:c r="F29" s="47" t="str">
        <x:v>Retrieve answer selection</x:v>
      </x:c>
      <x:c r="G29" s="47" t="str">
        <x:v>Open Retrieve</x:v>
      </x:c>
      <x:c r="H29" s="47" t="str">
        <x:v>Select an option without submit.</x:v>
      </x:c>
      <x:c r="I29" s="47" t="str">
        <x:v>Selection is visually distinct from submission/canonical result.</x:v>
      </x:c>
      <x:c r="J29" s="47" t="str">
        <x:v>Codex</x:v>
      </x:c>
      <x:c r="K29" s="47" t="str">
        <x:v>PASS</x:v>
      </x:c>
      <x:c r="L29" s="47" t="str">
        <x:v>evidence/codex/browser/QA-LRN-005.json</x:v>
      </x:c>
      <x:c r="M29" s="47" t="str"/>
      <x:c r="N29" s="47" t="str">
        <x:v>Execution PASS; independent QA pending.</x:v>
      </x:c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7" t="str">
        <x:v>QA-LRN-006</x:v>
      </x:c>
      <x:c r="B30" s="47" t="str">
        <x:v>QA</x:v>
      </x:c>
      <x:c r="C30" s="47" t="str">
        <x:v>Learner</x:v>
      </x:c>
      <x:c r="D30" s="47" t="str">
        <x:v>P0</x:v>
      </x:c>
      <x:c r="E30" s="47" t="str">
        <x:v>PRD-02</x:v>
      </x:c>
      <x:c r="F30" s="47" t="str">
        <x:v>Wrong first response + retry</x:v>
      </x:c>
      <x:c r="G30" s="47" t="str">
        <x:v>Practice retrieve item</x:v>
      </x:c>
      <x:c r="H30" s="47" t="str">
        <x:v>Submit wrong answer, then retry correctly.</x:v>
      </x:c>
      <x:c r="I30" s="47" t="str">
        <x:v>First wrong is acknowledged; retry is clearly practice and does not rewrite first response.</x:v>
      </x:c>
      <x:c r="J30" s="47" t="str">
        <x:v>Codex</x:v>
      </x:c>
      <x:c r="K30" s="47" t="str">
        <x:v>PASS</x:v>
      </x:c>
      <x:c r="L30" s="47" t="str">
        <x:v>evidence/codex/browser/QA-LRN-006.json</x:v>
      </x:c>
      <x:c r="M30" s="47" t="str">
        <x:v>P2-D001</x:v>
      </x:c>
      <x:c r="N30" s="47" t="str">
        <x:v>Execution PASS; independent QA pending.</x:v>
      </x:c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7" t="str">
        <x:v>QA-LRN-007</x:v>
      </x:c>
      <x:c r="B31" s="47" t="str">
        <x:v>QA</x:v>
      </x:c>
      <x:c r="C31" s="47" t="str">
        <x:v>Learner</x:v>
      </x:c>
      <x:c r="D31" s="47" t="str">
        <x:v>P1</x:v>
      </x:c>
      <x:c r="E31" s="47" t="str">
        <x:v>PRD-02</x:v>
      </x:c>
      <x:c r="F31" s="47" t="str">
        <x:v>Retry exhausted state</x:v>
      </x:c>
      <x:c r="G31" s="47" t="str">
        <x:v>Practice item after retry</x:v>
      </x:c>
      <x:c r="H31" s="47" t="str">
        <x:v>Use retry then submit again.</x:v>
      </x:c>
      <x:c r="I31" s="47" t="str">
        <x:v>No infinite retry loop; final feedback state is clear.</x:v>
      </x:c>
      <x:c r="J31" s="47" t="str">
        <x:v>Codex</x:v>
      </x:c>
      <x:c r="K31" s="47" t="str">
        <x:v>PASS</x:v>
      </x:c>
      <x:c r="L31" s="47" t="str">
        <x:v>evidence/codex/browser/QA-LRN-007.json</x:v>
      </x:c>
      <x:c r="M31" s="47" t="str">
        <x:v>P2-D005</x:v>
      </x:c>
      <x:c r="N31" s="47" t="str">
        <x:v>Execution PASS; independent QA pending.</x:v>
      </x:c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7" t="str">
        <x:v>QA-LRN-008</x:v>
      </x:c>
      <x:c r="B32" s="47" t="str">
        <x:v>QA</x:v>
      </x:c>
      <x:c r="C32" s="47" t="str">
        <x:v>Learner</x:v>
      </x:c>
      <x:c r="D32" s="47" t="str">
        <x:v>P0</x:v>
      </x:c>
      <x:c r="E32" s="47" t="str">
        <x:v>PRD-03</x:v>
      </x:c>
      <x:c r="F32" s="47" t="str">
        <x:v>Hint assisted state</x:v>
      </x:c>
      <x:c r="G32" s="47" t="str">
        <x:v>Practice item</x:v>
      </x:c>
      <x:c r="H32" s="47" t="str">
        <x:v>Open/use hint then answer.</x:v>
      </x:c>
      <x:c r="I32" s="47" t="str">
        <x:v>UI indicates assistance; copy does not present response as unaided.</x:v>
      </x:c>
      <x:c r="J32" s="47" t="str">
        <x:v>Codex</x:v>
      </x:c>
      <x:c r="K32" s="47" t="str">
        <x:v>PASS</x:v>
      </x:c>
      <x:c r="L32" s="47" t="str">
        <x:v>evidence/codex/browser/QA-LRN-008.json</x:v>
      </x:c>
      <x:c r="M32" s="47" t="str">
        <x:v>P2-D003</x:v>
      </x:c>
      <x:c r="N32" s="47" t="str">
        <x:v>Execution PASS; independent QA pending.</x:v>
      </x:c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7" t="str">
        <x:v>QA-LRN-009</x:v>
      </x:c>
      <x:c r="B33" s="47" t="str">
        <x:v>QA</x:v>
      </x:c>
      <x:c r="C33" s="47" t="str">
        <x:v>Learner</x:v>
      </x:c>
      <x:c r="D33" s="47" t="str">
        <x:v>P0</x:v>
      </x:c>
      <x:c r="E33" s="47" t="str">
        <x:v>PRD-04</x:v>
      </x:c>
      <x:c r="F33" s="47" t="str">
        <x:v>Skip semantics</x:v>
      </x:c>
      <x:c r="G33" s="47" t="str">
        <x:v>Practice item</x:v>
      </x:c>
      <x:c r="H33" s="47" t="str">
        <x:v>Choose Skip for now and confirm.</x:v>
      </x:c>
      <x:c r="I33" s="47" t="str">
        <x:v>No completion/mastery/reward is granted in copy; learner can continue safely.</x:v>
      </x:c>
      <x:c r="J33" s="47" t="str">
        <x:v>Codex</x:v>
      </x:c>
      <x:c r="K33" s="47" t="str">
        <x:v>PASS</x:v>
      </x:c>
      <x:c r="L33" s="47" t="str">
        <x:v>evidence/codex/browser/QA-LRN-009.json</x:v>
      </x:c>
      <x:c r="M33" s="47" t="str"/>
      <x:c r="N33" s="47" t="str">
        <x:v>Execution PASS; independent QA pending.</x:v>
      </x:c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7" t="str">
        <x:v>QA-LRN-010</x:v>
      </x:c>
      <x:c r="B34" s="47" t="str">
        <x:v>QA</x:v>
      </x:c>
      <x:c r="C34" s="47" t="str">
        <x:v>Learner</x:v>
      </x:c>
      <x:c r="D34" s="47" t="str">
        <x:v>P1</x:v>
      </x:c>
      <x:c r="E34" s="47" t="str">
        <x:v>PRD-06</x:v>
      </x:c>
      <x:c r="F34" s="47" t="str">
        <x:v>Correct feedback tone</x:v>
      </x:c>
      <x:c r="G34" s="47" t="str">
        <x:v>Practice item</x:v>
      </x:c>
      <x:c r="H34" s="47" t="str">
        <x:v>Submit correct answer.</x:v>
      </x:c>
      <x:c r="I34" s="47" t="str">
        <x:v>Feedback is concise/supportive without mastery overclaim.</x:v>
      </x:c>
      <x:c r="J34" s="47" t="str">
        <x:v>Codex</x:v>
      </x:c>
      <x:c r="K34" s="47" t="str">
        <x:v>PASS</x:v>
      </x:c>
      <x:c r="L34" s="47" t="str">
        <x:v>evidence/codex/browser/QA-LRN-010.json</x:v>
      </x:c>
      <x:c r="M34" s="47" t="str"/>
      <x:c r="N34" s="47" t="str">
        <x:v>Execution PASS; independent QA pending.</x:v>
      </x:c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7" t="str">
        <x:v>QA-LRN-011</x:v>
      </x:c>
      <x:c r="B35" s="47" t="str">
        <x:v>QA</x:v>
      </x:c>
      <x:c r="C35" s="47" t="str">
        <x:v>Learner</x:v>
      </x:c>
      <x:c r="D35" s="47" t="str">
        <x:v>P1</x:v>
      </x:c>
      <x:c r="E35" s="47" t="str">
        <x:v>PRD-06</x:v>
      </x:c>
      <x:c r="F35" s="47" t="str">
        <x:v>Transfer step distinction</x:v>
      </x:c>
      <x:c r="G35" s="47" t="str">
        <x:v>Reach Transfer</x:v>
      </x:c>
      <x:c r="H35" s="47" t="str">
        <x:v>Compare Retrieve and Transfer wording/context.</x:v>
      </x:c>
      <x:c r="I35" s="47" t="str">
        <x:v>Transfer changes cue/context and is not labelled as level-up.</x:v>
      </x:c>
      <x:c r="J35" s="47" t="str">
        <x:v>Codex</x:v>
      </x:c>
      <x:c r="K35" s="47" t="str">
        <x:v>PASS</x:v>
      </x:c>
      <x:c r="L35" s="47" t="str">
        <x:v>evidence/codex/browser/QA-LRN-011.json</x:v>
      </x:c>
      <x:c r="M35" s="47" t="str"/>
      <x:c r="N35" s="47" t="str">
        <x:v>Execution PASS; independent QA pending.</x:v>
      </x:c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7" t="str">
        <x:v>QA-LRN-012</x:v>
      </x:c>
      <x:c r="B36" s="47" t="str">
        <x:v>QA</x:v>
      </x:c>
      <x:c r="C36" s="47" t="str">
        <x:v>Learner</x:v>
      </x:c>
      <x:c r="D36" s="47" t="str">
        <x:v>P1</x:v>
      </x:c>
      <x:c r="E36" s="47" t="str">
        <x:v>PRD-01</x:v>
      </x:c>
      <x:c r="F36" s="47" t="str">
        <x:v>Cycle summary</x:v>
      </x:c>
      <x:c r="G36" s="47" t="str">
        <x:v>Complete cycle</x:v>
      </x:c>
      <x:c r="H36" s="47" t="str">
        <x:v>Inspect summary.</x:v>
      </x:c>
      <x:c r="I36" s="47" t="str">
        <x:v>Shows practiced evidence/needs review/next step, no fake mastery percentage.</x:v>
      </x:c>
      <x:c r="J36" s="47" t="str">
        <x:v>Codex</x:v>
      </x:c>
      <x:c r="K36" s="47" t="str">
        <x:v>PASS</x:v>
      </x:c>
      <x:c r="L36" s="47" t="str">
        <x:v>evidence/codex/browser/QA-LRN-012.json</x:v>
      </x:c>
      <x:c r="M36" s="47" t="str"/>
      <x:c r="N36" s="47" t="str">
        <x:v>Execution PASS; independent QA pending.</x:v>
      </x:c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7" t="str">
        <x:v>QA-LRN-013</x:v>
      </x:c>
      <x:c r="B37" s="47" t="str">
        <x:v>QA</x:v>
      </x:c>
      <x:c r="C37" s="47" t="str">
        <x:v>Learner</x:v>
      </x:c>
      <x:c r="D37" s="47" t="str">
        <x:v>P0</x:v>
      </x:c>
      <x:c r="E37" s="47" t="str">
        <x:v>PRD-03</x:v>
      </x:c>
      <x:c r="F37" s="47" t="str">
        <x:v>Check has no pre-submit hint</x:v>
      </x:c>
      <x:c r="G37" s="47" t="str">
        <x:v>Enter Check</x:v>
      </x:c>
      <x:c r="H37" s="47" t="str">
        <x:v>Inspect available actions before submit.</x:v>
      </x:c>
      <x:c r="I37" s="47" t="str">
        <x:v>Hint action is absent and Check context is explicit.</x:v>
      </x:c>
      <x:c r="J37" s="47" t="str">
        <x:v>Codex</x:v>
      </x:c>
      <x:c r="K37" s="47" t="str">
        <x:v>PASS</x:v>
      </x:c>
      <x:c r="L37" s="47" t="str">
        <x:v>evidence/codex/browser/QA-LRN-013.json</x:v>
      </x:c>
      <x:c r="M37" s="47" t="str"/>
      <x:c r="N37" s="47" t="str">
        <x:v>Execution PASS; independent QA pending.</x:v>
      </x:c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7" t="str">
        <x:v>QA-LRN-014</x:v>
      </x:c>
      <x:c r="B38" s="47" t="str">
        <x:v>QA</x:v>
      </x:c>
      <x:c r="C38" s="47" t="str">
        <x:v>Learner</x:v>
      </x:c>
      <x:c r="D38" s="47" t="str">
        <x:v>P1</x:v>
      </x:c>
      <x:c r="E38" s="47" t="str">
        <x:v>PRD-05</x:v>
      </x:c>
      <x:c r="F38" s="47" t="str">
        <x:v>Listening Check policy copy</x:v>
      </x:c>
      <x:c r="G38" s="47" t="str">
        <x:v>Open listening Check example/spec</x:v>
      </x:c>
      <x:c r="H38" s="47" t="str">
        <x:v>Inspect play control and condition copy.</x:v>
      </x:c>
      <x:c r="I38" s="47" t="str">
        <x:v>Offered play policy can be shown; UI never claims physical listening verification.</x:v>
      </x:c>
      <x:c r="J38" s="47" t="str">
        <x:v>Codex</x:v>
      </x:c>
      <x:c r="K38" s="47" t="str">
        <x:v>PASS</x:v>
      </x:c>
      <x:c r="L38" s="47" t="str">
        <x:v>evidence/codex/browser/QA-LRN-014.json</x:v>
      </x:c>
      <x:c r="M38" s="47" t="str">
        <x:v>P2-D008</x:v>
      </x:c>
      <x:c r="N38" s="47" t="str">
        <x:v>Execution PASS; independent QA pending.</x:v>
      </x:c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7" t="str">
        <x:v>QA-LRN-015</x:v>
      </x:c>
      <x:c r="B39" s="47" t="str">
        <x:v>QA</x:v>
      </x:c>
      <x:c r="C39" s="47" t="str">
        <x:v>Learner</x:v>
      </x:c>
      <x:c r="D39" s="47" t="str">
        <x:v>P0</x:v>
      </x:c>
      <x:c r="E39" s="47" t="str">
        <x:v>PRD-09</x:v>
      </x:c>
      <x:c r="F39" s="47" t="str">
        <x:v>Placement optional</x:v>
      </x:c>
      <x:c r="G39" s="47" t="str">
        <x:v>First-use onboarding</x:v>
      </x:c>
      <x:c r="H39" s="47" t="str">
        <x:v>Choose skip placement.</x:v>
      </x:c>
      <x:c r="I39" s="47" t="str">
        <x:v>Learner can continue with provisional/missing evidence state.</x:v>
      </x:c>
      <x:c r="J39" s="47" t="str">
        <x:v>Codex</x:v>
      </x:c>
      <x:c r="K39" s="47" t="str">
        <x:v>PASS</x:v>
      </x:c>
      <x:c r="L39" s="47" t="str">
        <x:v>evidence/codex/browser/QA-LRN-015.json</x:v>
      </x:c>
      <x:c r="M39" s="47" t="str">
        <x:v>P2-D007</x:v>
      </x:c>
      <x:c r="N39" s="47" t="str">
        <x:v>Execution PASS; independent QA pending.</x:v>
      </x:c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7" t="str">
        <x:v>QA-LRN-016</x:v>
      </x:c>
      <x:c r="B40" s="47" t="str">
        <x:v>QA</x:v>
      </x:c>
      <x:c r="C40" s="47" t="str">
        <x:v>Learner</x:v>
      </x:c>
      <x:c r="D40" s="47" t="str">
        <x:v>P1</x:v>
      </x:c>
      <x:c r="E40" s="47" t="str">
        <x:v>PRD-09</x:v>
      </x:c>
      <x:c r="F40" s="47" t="str">
        <x:v>Placement result uncertainty</x:v>
      </x:c>
      <x:c r="G40" s="47" t="str">
        <x:v>Complete/inspect placement result</x:v>
      </x:c>
      <x:c r="H40" s="47" t="str">
        <x:v>Read result language.</x:v>
      </x:c>
      <x:c r="I40" s="47" t="str">
        <x:v>Result is provisional and does not claim external CEFR certification.</x:v>
      </x:c>
      <x:c r="J40" s="47" t="str">
        <x:v>Codex</x:v>
      </x:c>
      <x:c r="K40" s="47" t="str">
        <x:v>PASS</x:v>
      </x:c>
      <x:c r="L40" s="47" t="str">
        <x:v>evidence/codex/browser/QA-LRN-016.json</x:v>
      </x:c>
      <x:c r="M40" s="47" t="str">
        <x:v>P2-D007</x:v>
      </x:c>
      <x:c r="N40" s="47" t="str">
        <x:v>Execution PASS; independent QA pending.</x:v>
      </x:c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7" t="str">
        <x:v>QA-LRN-017</x:v>
      </x:c>
      <x:c r="B41" s="47" t="str">
        <x:v>QA</x:v>
      </x:c>
      <x:c r="C41" s="47" t="str">
        <x:v>Learner</x:v>
      </x:c>
      <x:c r="D41" s="47" t="str">
        <x:v>P1</x:v>
      </x:c>
      <x:c r="E41" s="47" t="str">
        <x:v>PRD-10</x:v>
      </x:c>
      <x:c r="F41" s="47" t="str">
        <x:v>Goal editing</x:v>
      </x:c>
      <x:c r="G41" s="47" t="str">
        <x:v>Open Profile &gt; Goal</x:v>
      </x:c>
      <x:c r="H41" s="47" t="str">
        <x:v>Change goal.</x:v>
      </x:c>
      <x:c r="I41" s="47" t="str">
        <x:v>Goal setting is presented as intent, not competence.</x:v>
      </x:c>
      <x:c r="J41" s="47" t="str">
        <x:v>Codex</x:v>
      </x:c>
      <x:c r="K41" s="47" t="str">
        <x:v>PASS</x:v>
      </x:c>
      <x:c r="L41" s="47" t="str">
        <x:v>evidence/codex/browser/QA-LRN-017.json</x:v>
      </x:c>
      <x:c r="M41" s="47" t="str">
        <x:v>P2-D017</x:v>
      </x:c>
      <x:c r="N41" s="47" t="str">
        <x:v>Execution PASS; independent QA pending.</x:v>
      </x:c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7" t="str">
        <x:v>QA-LRN-018</x:v>
      </x:c>
      <x:c r="B42" s="47" t="str">
        <x:v>QA</x:v>
      </x:c>
      <x:c r="C42" s="47" t="str">
        <x:v>Learner</x:v>
      </x:c>
      <x:c r="D42" s="47" t="str">
        <x:v>P1</x:v>
      </x:c>
      <x:c r="E42" s="47" t="str">
        <x:v>PRD-13</x:v>
      </x:c>
      <x:c r="F42" s="47" t="str">
        <x:v>Locked objective preview</x:v>
      </x:c>
      <x:c r="G42" s="47" t="str">
        <x:v>Open Course &gt; locked objective</x:v>
      </x:c>
      <x:c r="H42" s="47" t="str">
        <x:v>Open preview.</x:v>
      </x:c>
      <x:c r="I42" s="47" t="str">
        <x:v>Preview is clearly non-progressing and shows prerequisite reason.</x:v>
      </x:c>
      <x:c r="J42" s="47" t="str">
        <x:v>Codex</x:v>
      </x:c>
      <x:c r="K42" s="47" t="str">
        <x:v>PASS</x:v>
      </x:c>
      <x:c r="L42" s="47" t="str">
        <x:v>evidence/codex/browser/QA-LRN-018.json</x:v>
      </x:c>
      <x:c r="M42" s="47" t="str">
        <x:v>P2-D013</x:v>
      </x:c>
      <x:c r="N42" s="47" t="str">
        <x:v>Execution PASS; independent QA pending.</x:v>
      </x:c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7" t="str">
        <x:v>QA-LRN-019</x:v>
      </x:c>
      <x:c r="B43" s="47" t="str">
        <x:v>QA</x:v>
      </x:c>
      <x:c r="C43" s="47" t="str">
        <x:v>Learner</x:v>
      </x:c>
      <x:c r="D43" s="47" t="str">
        <x:v>P0</x:v>
      </x:c>
      <x:c r="E43" s="47" t="str">
        <x:v>PRD-16</x:v>
      </x:c>
      <x:c r="F43" s="47" t="str">
        <x:v>No recommendation fallback</x:v>
      </x:c>
      <x:c r="G43" s="47" t="str">
        <x:v>Simulate recommendation unavailable</x:v>
      </x:c>
      <x:c r="H43" s="47" t="str">
        <x:v>Open Home/Learn fallback.</x:v>
      </x:c>
      <x:c r="I43" s="47" t="str">
        <x:v>A usable curriculum/due/manual action remains; no AI error dead end.</x:v>
      </x:c>
      <x:c r="J43" s="47" t="str">
        <x:v>Codex</x:v>
      </x:c>
      <x:c r="K43" s="47" t="str">
        <x:v>PASS</x:v>
      </x:c>
      <x:c r="L43" s="47" t="str">
        <x:v>evidence/codex/browser/QA-LRN-019.json</x:v>
      </x:c>
      <x:c r="M43" s="47" t="str">
        <x:v>P2-D018</x:v>
      </x:c>
      <x:c r="N43" s="47" t="str">
        <x:v>Execution PASS; independent QA pending.</x:v>
      </x:c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7" t="str">
        <x:v>QA-LRN-020</x:v>
      </x:c>
      <x:c r="B44" s="47" t="str">
        <x:v>QA</x:v>
      </x:c>
      <x:c r="C44" s="47" t="str">
        <x:v>Learner</x:v>
      </x:c>
      <x:c r="D44" s="47" t="str">
        <x:v>P1</x:v>
      </x:c>
      <x:c r="E44" s="47" t="str">
        <x:v>PRD-16</x:v>
      </x:c>
      <x:c r="F44" s="47" t="str">
        <x:v>Nothing due state</x:v>
      </x:c>
      <x:c r="G44" s="47" t="str">
        <x:v>Simulate no eligible item</x:v>
      </x:c>
      <x:c r="H44" s="47" t="str">
        <x:v>Open empty state.</x:v>
      </x:c>
      <x:c r="I44" s="47" t="str">
        <x:v>Honest empty/content-gap copy; no fabricated completion.</x:v>
      </x:c>
      <x:c r="J44" s="47" t="str">
        <x:v>Codex</x:v>
      </x:c>
      <x:c r="K44" s="47" t="str">
        <x:v>PASS</x:v>
      </x:c>
      <x:c r="L44" s="47" t="str">
        <x:v>evidence/codex/browser/QA-LRN-020.json</x:v>
      </x:c>
      <x:c r="M44" s="47" t="str">
        <x:v>P2-D018</x:v>
      </x:c>
      <x:c r="N44" s="47" t="str">
        <x:v>Execution PASS; independent QA pending.</x:v>
      </x:c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7" t="str">
        <x:v>QA-STF-001</x:v>
      </x:c>
      <x:c r="B45" s="47" t="str">
        <x:v>QA</x:v>
      </x:c>
      <x:c r="C45" s="47" t="str">
        <x:v>Staff</x:v>
      </x:c>
      <x:c r="D45" s="47" t="str">
        <x:v>P1</x:v>
      </x:c>
      <x:c r="E45" s="47" t="str"/>
      <x:c r="F45" s="47" t="str">
        <x:v>Staff dashboard shell</x:v>
      </x:c>
      <x:c r="G45" s="47" t="str">
        <x:v>Staff surface available</x:v>
      </x:c>
      <x:c r="H45" s="47" t="str">
        <x:v>Open Dashboard.</x:v>
      </x:c>
      <x:c r="I45" s="47" t="str">
        <x:v>Operational overview is structured without pretending future data exists.</x:v>
      </x:c>
      <x:c r="J45" s="47" t="str">
        <x:v>Codex</x:v>
      </x:c>
      <x:c r="K45" s="47" t="str">
        <x:v>PASS</x:v>
      </x:c>
      <x:c r="L45" s="47" t="str">
        <x:v>evidence/codex/browser/QA-STF-001.json</x:v>
      </x:c>
      <x:c r="M45" s="47" t="str"/>
      <x:c r="N45" s="47" t="str">
        <x:v>Execution PASS; independent QA pending.</x:v>
      </x:c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7" t="str">
        <x:v>QA-STF-002</x:v>
      </x:c>
      <x:c r="B46" s="47" t="str">
        <x:v>QA</x:v>
      </x:c>
      <x:c r="C46" s="47" t="str">
        <x:v>Staff</x:v>
      </x:c>
      <x:c r="D46" s="47" t="str">
        <x:v>P1</x:v>
      </x:c>
      <x:c r="E46" s="47" t="str"/>
      <x:c r="F46" s="47" t="str">
        <x:v>Learner list and detail</x:v>
      </x:c>
      <x:c r="G46" s="47" t="str">
        <x:v>Staff surface</x:v>
      </x:c>
      <x:c r="H46" s="47" t="str">
        <x:v>Open Learners then a learner.</x:v>
      </x:c>
      <x:c r="I46" s="47" t="str">
        <x:v>List/detail IA works and evidence/activity sections are distinct.</x:v>
      </x:c>
      <x:c r="J46" s="47" t="str">
        <x:v>Codex</x:v>
      </x:c>
      <x:c r="K46" s="47" t="str">
        <x:v>PASS</x:v>
      </x:c>
      <x:c r="L46" s="47" t="str">
        <x:v>evidence/codex/browser/QA-STF-002.json</x:v>
      </x:c>
      <x:c r="M46" s="47" t="str"/>
      <x:c r="N46" s="47" t="str">
        <x:v>Execution PASS; independent QA pending.</x:v>
      </x:c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7" t="str">
        <x:v>QA-STF-003</x:v>
      </x:c>
      <x:c r="B47" s="47" t="str">
        <x:v>QA</x:v>
      </x:c>
      <x:c r="C47" s="47" t="str">
        <x:v>Staff</x:v>
      </x:c>
      <x:c r="D47" s="47" t="str">
        <x:v>P1</x:v>
      </x:c>
      <x:c r="E47" s="47" t="str"/>
      <x:c r="F47" s="47" t="str">
        <x:v>No diagnosis language</x:v>
      </x:c>
      <x:c r="G47" s="47" t="str">
        <x:v>Learner detail</x:v>
      </x:c>
      <x:c r="H47" s="47" t="str">
        <x:v>Inspect copy.</x:v>
      </x:c>
      <x:c r="I47" s="47" t="str">
        <x:v>No mental-state diagnosis or unsupported risk truth is presented.</x:v>
      </x:c>
      <x:c r="J47" s="47" t="str">
        <x:v>Codex</x:v>
      </x:c>
      <x:c r="K47" s="47" t="str">
        <x:v>PASS</x:v>
      </x:c>
      <x:c r="L47" s="47" t="str">
        <x:v>evidence/codex/browser/QA-STF-003.json</x:v>
      </x:c>
      <x:c r="M47" s="47" t="str"/>
      <x:c r="N47" s="47" t="str">
        <x:v>Execution PASS; independent QA pending.</x:v>
      </x:c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7" t="str">
        <x:v>QA-STF-004</x:v>
      </x:c>
      <x:c r="B48" s="47" t="str">
        <x:v>QA</x:v>
      </x:c>
      <x:c r="C48" s="47" t="str">
        <x:v>Staff</x:v>
      </x:c>
      <x:c r="D48" s="47" t="str">
        <x:v>P1</x:v>
      </x:c>
      <x:c r="E48" s="47" t="str"/>
      <x:c r="F48" s="47" t="str">
        <x:v>Content lifecycle navigation</x:v>
      </x:c>
      <x:c r="G48" s="47" t="str">
        <x:v>Content area</x:v>
      </x:c>
      <x:c r="H48" s="47" t="str">
        <x:v>Open Library &gt; Draft &gt; Preview &gt; Review &gt; Published examples.</x:v>
      </x:c>
      <x:c r="I48" s="47" t="str">
        <x:v>Lifecycle is understandable and revision states are explicit.</x:v>
      </x:c>
      <x:c r="J48" s="47" t="str">
        <x:v>Codex</x:v>
      </x:c>
      <x:c r="K48" s="47" t="str">
        <x:v>PASS</x:v>
      </x:c>
      <x:c r="L48" s="47" t="str">
        <x:v>evidence/codex/browser/QA-STF-004.json</x:v>
      </x:c>
      <x:c r="M48" s="47" t="str"/>
      <x:c r="N48" s="47" t="str">
        <x:v>Execution PASS; independent QA pending.</x:v>
      </x:c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7" t="str">
        <x:v>QA-STF-005</x:v>
      </x:c>
      <x:c r="B49" s="47" t="str">
        <x:v>QA</x:v>
      </x:c>
      <x:c r="C49" s="47" t="str">
        <x:v>Staff</x:v>
      </x:c>
      <x:c r="D49" s="47" t="str">
        <x:v>P1</x:v>
      </x:c>
      <x:c r="E49" s="47" t="str"/>
      <x:c r="F49" s="47" t="str">
        <x:v>Draft vs published editability</x:v>
      </x:c>
      <x:c r="G49" s="47" t="str">
        <x:v>Content area</x:v>
      </x:c>
      <x:c r="H49" s="47" t="str">
        <x:v>Compare draft editor and published revision.</x:v>
      </x:c>
      <x:c r="I49" s="47" t="str">
        <x:v>Draft is editable; published view offers create-new-draft rather than edit-in-place.</x:v>
      </x:c>
      <x:c r="J49" s="47" t="str">
        <x:v>Codex</x:v>
      </x:c>
      <x:c r="K49" s="47" t="str">
        <x:v>PASS</x:v>
      </x:c>
      <x:c r="L49" s="47" t="str">
        <x:v>evidence/codex/browser/QA-STF-005.json</x:v>
      </x:c>
      <x:c r="M49" s="47" t="str">
        <x:v>P2-D009</x:v>
      </x:c>
      <x:c r="N49" s="47" t="str">
        <x:v>Execution PASS; independent QA pending.</x:v>
      </x:c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7" t="str">
        <x:v>QA-STF-006</x:v>
      </x:c>
      <x:c r="B50" s="47" t="str">
        <x:v>QA</x:v>
      </x:c>
      <x:c r="C50" s="47" t="str">
        <x:v>Staff</x:v>
      </x:c>
      <x:c r="D50" s="47" t="str">
        <x:v>P1</x:v>
      </x:c>
      <x:c r="E50" s="47" t="str">
        <x:v>PRD-14</x:v>
      </x:c>
      <x:c r="F50" s="47" t="str">
        <x:v>Source/license gate</x:v>
      </x:c>
      <x:c r="G50" s="47" t="str">
        <x:v>Draft editor</x:v>
      </x:c>
      <x:c r="H50" s="47" t="str">
        <x:v>Open Source &amp; License.</x:v>
      </x:c>
      <x:c r="I50" s="47" t="str">
        <x:v>Missing provenance is visibly blocking for publish.</x:v>
      </x:c>
      <x:c r="J50" s="47" t="str">
        <x:v>Codex</x:v>
      </x:c>
      <x:c r="K50" s="47" t="str">
        <x:v>PASS</x:v>
      </x:c>
      <x:c r="L50" s="47" t="str">
        <x:v>evidence/codex/browser/QA-STF-006.json</x:v>
      </x:c>
      <x:c r="M50" s="47" t="str"/>
      <x:c r="N50" s="47" t="str">
        <x:v>Execution PASS; independent QA pending.</x:v>
      </x:c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7" t="str">
        <x:v>QA-STF-007</x:v>
      </x:c>
      <x:c r="B51" s="47" t="str">
        <x:v>QA</x:v>
      </x:c>
      <x:c r="C51" s="47" t="str">
        <x:v>Staff</x:v>
      </x:c>
      <x:c r="D51" s="47" t="str">
        <x:v>P1</x:v>
      </x:c>
      <x:c r="E51" s="47" t="str">
        <x:v>PRD-14</x:v>
      </x:c>
      <x:c r="F51" s="47" t="str">
        <x:v>Publish confirmation</x:v>
      </x:c>
      <x:c r="G51" s="47" t="str">
        <x:v>Approved content</x:v>
      </x:c>
      <x:c r="H51" s="47" t="str">
        <x:v>Open publish confirmation.</x:v>
      </x:c>
      <x:c r="I51" s="47" t="str">
        <x:v>Copy explains immutable new revision; destructive ambiguity is avoided.</x:v>
      </x:c>
      <x:c r="J51" s="47" t="str">
        <x:v>Codex</x:v>
      </x:c>
      <x:c r="K51" s="47" t="str">
        <x:v>PASS</x:v>
      </x:c>
      <x:c r="L51" s="47" t="str">
        <x:v>evidence/codex/browser/QA-STF-007.json</x:v>
      </x:c>
      <x:c r="M51" s="47" t="str">
        <x:v>P2-D009; P2-D014</x:v>
      </x:c>
      <x:c r="N51" s="47" t="str">
        <x:v>Execution PASS; independent QA pending.</x:v>
      </x:c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7" t="str">
        <x:v>QA-STF-008</x:v>
      </x:c>
      <x:c r="B52" s="47" t="str">
        <x:v>QA</x:v>
      </x:c>
      <x:c r="C52" s="47" t="str">
        <x:v>Staff</x:v>
      </x:c>
      <x:c r="D52" s="47" t="str">
        <x:v>P1</x:v>
      </x:c>
      <x:c r="E52" s="47" t="str"/>
      <x:c r="F52" s="47" t="str">
        <x:v>Intervention future boundary</x:v>
      </x:c>
      <x:c r="G52" s="47" t="str">
        <x:v>Open Interventions</x:v>
      </x:c>
      <x:c r="H52" s="47" t="str">
        <x:v>Inspect placeholder/state.</x:v>
      </x:c>
      <x:c r="I52" s="47" t="str">
        <x:v>Does not imply Phase 11/12 implementation or causal outcome exists.</x:v>
      </x:c>
      <x:c r="J52" s="47" t="str">
        <x:v>Codex</x:v>
      </x:c>
      <x:c r="K52" s="47" t="str">
        <x:v>PASS</x:v>
      </x:c>
      <x:c r="L52" s="47" t="str">
        <x:v>evidence/codex/browser/QA-STF-008.json</x:v>
      </x:c>
      <x:c r="M52" s="47" t="str"/>
      <x:c r="N52" s="47" t="str">
        <x:v>Execution PASS; independent QA pending.</x:v>
      </x:c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7" t="str">
        <x:v>QA-STF-009</x:v>
      </x:c>
      <x:c r="B53" s="47" t="str">
        <x:v>QA</x:v>
      </x:c>
      <x:c r="C53" s="47" t="str">
        <x:v>Staff</x:v>
      </x:c>
      <x:c r="D53" s="47" t="str">
        <x:v>P1</x:v>
      </x:c>
      <x:c r="E53" s="47" t="str"/>
      <x:c r="F53" s="47" t="str">
        <x:v>Analytics future boundary</x:v>
      </x:c>
      <x:c r="G53" s="47" t="str">
        <x:v>Open Analytics</x:v>
      </x:c>
      <x:c r="H53" s="47" t="str">
        <x:v>Inspect metric shell.</x:v>
      </x:c>
      <x:c r="I53" s="47" t="str">
        <x:v>Requires time/source definition and does not display invented production metrics.</x:v>
      </x:c>
      <x:c r="J53" s="47" t="str">
        <x:v>Codex</x:v>
      </x:c>
      <x:c r="K53" s="47" t="str">
        <x:v>PASS</x:v>
      </x:c>
      <x:c r="L53" s="47" t="str">
        <x:v>evidence/codex/browser/QA-STF-009.json</x:v>
      </x:c>
      <x:c r="M53" s="47" t="str"/>
      <x:c r="N53" s="47" t="str">
        <x:v>Execution PASS; independent QA pending.</x:v>
      </x:c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7" t="str">
        <x:v>QA-STF-010</x:v>
      </x:c>
      <x:c r="B54" s="47" t="str">
        <x:v>QA</x:v>
      </x:c>
      <x:c r="C54" s="47" t="str">
        <x:v>Staff</x:v>
      </x:c>
      <x:c r="D54" s="47" t="str">
        <x:v>P1</x:v>
      </x:c>
      <x:c r="E54" s="47" t="str"/>
      <x:c r="F54" s="47" t="str">
        <x:v>Administration authorization note</x:v>
      </x:c>
      <x:c r="G54" s="47" t="str">
        <x:v>Open Administration</x:v>
      </x:c>
      <x:c r="H54" s="47" t="str">
        <x:v>Inspect role/audit surfaces.</x:v>
      </x:c>
      <x:c r="I54" s="47" t="str">
        <x:v>Design never claims sidebar visibility is sufficient authorization.</x:v>
      </x:c>
      <x:c r="J54" s="47" t="str">
        <x:v>Codex</x:v>
      </x:c>
      <x:c r="K54" s="47" t="str">
        <x:v>PASS</x:v>
      </x:c>
      <x:c r="L54" s="47" t="str">
        <x:v>evidence/codex/browser/QA-STF-010.json</x:v>
      </x:c>
      <x:c r="M54" s="47" t="str"/>
      <x:c r="N54" s="47" t="str">
        <x:v>Execution PASS; independent QA pending.</x:v>
      </x:c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7" t="str">
        <x:v>QA-OFF-001</x:v>
      </x:c>
      <x:c r="B55" s="47" t="str">
        <x:v>QA</x:v>
      </x:c>
      <x:c r="C55" s="47" t="str">
        <x:v>Offline/System</x:v>
      </x:c>
      <x:c r="D55" s="47" t="str">
        <x:v>P1</x:v>
      </x:c>
      <x:c r="E55" s="47" t="str">
        <x:v>PRD-15</x:v>
      </x:c>
      <x:c r="F55" s="47" t="str">
        <x:v>Offline banner</x:v>
      </x:c>
      <x:c r="G55" s="47" t="str">
        <x:v>Learner home</x:v>
      </x:c>
      <x:c r="H55" s="47" t="str">
        <x:v>Enable prototype offline toggle.</x:v>
      </x:c>
      <x:c r="I55" s="47" t="str">
        <x:v>Offline state is visible but non-alarming; available offline actions remain usable.</x:v>
      </x:c>
      <x:c r="J55" s="47" t="str">
        <x:v>Codex</x:v>
      </x:c>
      <x:c r="K55" s="47" t="str">
        <x:v>PASS</x:v>
      </x:c>
      <x:c r="L55" s="47" t="str">
        <x:v>evidence/codex/browser/QA-OFF-001.json</x:v>
      </x:c>
      <x:c r="M55" s="47" t="str"/>
      <x:c r="N55" s="47" t="str">
        <x:v>Execution PASS; independent QA pending.</x:v>
      </x:c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7" t="str">
        <x:v>QA-OFF-002</x:v>
      </x:c>
      <x:c r="B56" s="47" t="str">
        <x:v>QA</x:v>
      </x:c>
      <x:c r="C56" s="47" t="str">
        <x:v>Offline/System</x:v>
      </x:c>
      <x:c r="D56" s="47" t="str">
        <x:v>P0</x:v>
      </x:c>
      <x:c r="E56" s="47" t="str">
        <x:v>PRD-15</x:v>
      </x:c>
      <x:c r="F56" s="47" t="str">
        <x:v>Queued vs synced</x:v>
      </x:c>
      <x:c r="G56" s="47" t="str">
        <x:v>Offline/online transitions</x:v>
      </x:c>
      <x:c r="H56" s="47" t="str">
        <x:v>Submit/simulate queued action then restore connection.</x:v>
      </x:c>
      <x:c r="I56" s="47" t="str">
        <x:v>Copy distinguishes saved on device / waiting to sync / synced.</x:v>
      </x:c>
      <x:c r="J56" s="47" t="str">
        <x:v>Codex</x:v>
      </x:c>
      <x:c r="K56" s="47" t="str">
        <x:v>PASS</x:v>
      </x:c>
      <x:c r="L56" s="47" t="str">
        <x:v>evidence/codex/browser/QA-OFF-002.json</x:v>
      </x:c>
      <x:c r="M56" s="47" t="str">
        <x:v>P2-D004</x:v>
      </x:c>
      <x:c r="N56" s="47" t="str">
        <x:v>Execution PASS; independent QA pending.</x:v>
      </x:c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7" t="str">
        <x:v>QA-OFF-003</x:v>
      </x:c>
      <x:c r="B57" s="47" t="str">
        <x:v>QA</x:v>
      </x:c>
      <x:c r="C57" s="47" t="str">
        <x:v>Offline/System</x:v>
      </x:c>
      <x:c r="D57" s="47" t="str">
        <x:v>P0</x:v>
      </x:c>
      <x:c r="E57" s="47" t="str">
        <x:v>PRD-15</x:v>
      </x:c>
      <x:c r="F57" s="47" t="str">
        <x:v>Sync retry failure</x:v>
      </x:c>
      <x:c r="G57" s="47" t="str">
        <x:v>Sync failure state</x:v>
      </x:c>
      <x:c r="H57" s="47" t="str">
        <x:v>Open Sync Error and Retry.</x:v>
      </x:c>
      <x:c r="I57" s="47" t="str">
        <x:v>Retry is safe and does not encourage duplicate manual submission.</x:v>
      </x:c>
      <x:c r="J57" s="47" t="str">
        <x:v>Codex</x:v>
      </x:c>
      <x:c r="K57" s="47" t="str">
        <x:v>PASS</x:v>
      </x:c>
      <x:c r="L57" s="47" t="str">
        <x:v>evidence/codex/browser/QA-OFF-003.json</x:v>
      </x:c>
      <x:c r="M57" s="47" t="str">
        <x:v>P2-D006</x:v>
      </x:c>
      <x:c r="N57" s="47" t="str">
        <x:v>Execution PASS; independent QA pending.</x:v>
      </x:c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7" t="str">
        <x:v>QA-OFF-004</x:v>
      </x:c>
      <x:c r="B58" s="47" t="str">
        <x:v>QA</x:v>
      </x:c>
      <x:c r="C58" s="47" t="str">
        <x:v>Offline/System</x:v>
      </x:c>
      <x:c r="D58" s="47" t="str">
        <x:v>P0</x:v>
      </x:c>
      <x:c r="E58" s="47" t="str">
        <x:v>PRD-15</x:v>
      </x:c>
      <x:c r="F58" s="47" t="str">
        <x:v>Canonical refresh</x:v>
      </x:c>
      <x:c r="G58" s="47" t="str">
        <x:v>Conflict/canonical refresh state</x:v>
      </x:c>
      <x:c r="H58" s="47" t="str">
        <x:v>Inspect recovery action.</x:v>
      </x:c>
      <x:c r="I58" s="47" t="str">
        <x:v>UI refetches canonical state rather than locally overriding server truth.</x:v>
      </x:c>
      <x:c r="J58" s="47" t="str">
        <x:v>Codex</x:v>
      </x:c>
      <x:c r="K58" s="47" t="str">
        <x:v>PASS</x:v>
      </x:c>
      <x:c r="L58" s="47" t="str">
        <x:v>evidence/codex/browser/QA-OFF-004.json</x:v>
      </x:c>
      <x:c r="M58" s="47" t="str">
        <x:v>P2-D006</x:v>
      </x:c>
      <x:c r="N58" s="47" t="str">
        <x:v>Execution PASS; independent QA pending.</x:v>
      </x:c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7" t="str">
        <x:v>QA-OFF-005</x:v>
      </x:c>
      <x:c r="B59" s="47" t="str">
        <x:v>QA</x:v>
      </x:c>
      <x:c r="C59" s="47" t="str">
        <x:v>Offline/System</x:v>
      </x:c>
      <x:c r="D59" s="47" t="str">
        <x:v>P1</x:v>
      </x:c>
      <x:c r="E59" s="47" t="str">
        <x:v>PRD-15</x:v>
      </x:c>
      <x:c r="F59" s="47" t="str">
        <x:v>Media unavailable offline</x:v>
      </x:c>
      <x:c r="G59" s="47" t="str">
        <x:v>Learning content</x:v>
      </x:c>
      <x:c r="H59" s="47" t="str">
        <x:v>Simulate unavailable audio/media.</x:v>
      </x:c>
      <x:c r="I59" s="47" t="str">
        <x:v>Valid alternative/sync action shown; no fabricated Check completion.</x:v>
      </x:c>
      <x:c r="J59" s="47" t="str">
        <x:v>Codex</x:v>
      </x:c>
      <x:c r="K59" s="47" t="str">
        <x:v>PASS</x:v>
      </x:c>
      <x:c r="L59" s="47" t="str">
        <x:v>evidence/codex/browser/QA-OFF-005.json</x:v>
      </x:c>
      <x:c r="M59" s="47" t="str">
        <x:v>P2-D006; P2-D019</x:v>
      </x:c>
      <x:c r="N59" s="47" t="str">
        <x:v>Execution PASS; independent QA pending.</x:v>
      </x:c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7" t="str">
        <x:v>QA-OFF-006</x:v>
      </x:c>
      <x:c r="B60" s="47" t="str">
        <x:v>QA</x:v>
      </x:c>
      <x:c r="C60" s="47" t="str">
        <x:v>Offline/System</x:v>
      </x:c>
      <x:c r="D60" s="47" t="str">
        <x:v>P1</x:v>
      </x:c>
      <x:c r="E60" s="47" t="str">
        <x:v>PRD-15</x:v>
      </x:c>
      <x:c r="F60" s="47" t="str">
        <x:v>Re-auth state</x:v>
      </x:c>
      <x:c r="G60" s="47" t="str">
        <x:v>Expired session placeholder</x:v>
      </x:c>
      <x:c r="H60" s="47" t="str">
        <x:v>Open re-auth state.</x:v>
      </x:c>
      <x:c r="I60" s="47" t="str">
        <x:v>User is told sign-in is required; local permission bypass is absent.</x:v>
      </x:c>
      <x:c r="J60" s="47" t="str">
        <x:v>Codex</x:v>
      </x:c>
      <x:c r="K60" s="47" t="str">
        <x:v>PASS</x:v>
      </x:c>
      <x:c r="L60" s="47" t="str">
        <x:v>evidence/codex/browser/QA-OFF-006.json</x:v>
      </x:c>
      <x:c r="M60" s="47" t="str">
        <x:v>P2-D006</x:v>
      </x:c>
      <x:c r="N60" s="47" t="str">
        <x:v>Execution PASS; independent QA pending.</x:v>
      </x:c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7" t="str">
        <x:v>QA-BIZ-001</x:v>
      </x:c>
      <x:c r="B61" s="47" t="str">
        <x:v>QA</x:v>
      </x:c>
      <x:c r="C61" s="47" t="str">
        <x:v>Business Integrity</x:v>
      </x:c>
      <x:c r="D61" s="47" t="str">
        <x:v>P0</x:v>
      </x:c>
      <x:c r="E61" s="47" t="str"/>
      <x:c r="F61" s="47" t="str">
        <x:v>Server authority language</x:v>
      </x:c>
      <x:c r="G61" s="47" t="str">
        <x:v>All learner result surfaces</x:v>
      </x:c>
      <x:c r="H61" s="47" t="str">
        <x:v>Inspect copy/states around submitting/sync.</x:v>
      </x:c>
      <x:c r="I61" s="47" t="str">
        <x:v>UI does not imply local selection equals canonical scored result.</x:v>
      </x:c>
      <x:c r="J61" s="47" t="str">
        <x:v>Codex</x:v>
      </x:c>
      <x:c r="K61" s="47" t="str">
        <x:v>PASS</x:v>
      </x:c>
      <x:c r="L61" s="47" t="str">
        <x:v>evidence/codex/browser/QA-BIZ-001.json</x:v>
      </x:c>
      <x:c r="M61" s="47" t="str">
        <x:v>P2-D004</x:v>
      </x:c>
      <x:c r="N61" s="47" t="str">
        <x:v>Execution PASS; independent QA pending.</x:v>
      </x:c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7" t="str">
        <x:v>QA-BIZ-002</x:v>
      </x:c>
      <x:c r="B62" s="47" t="str">
        <x:v>QA</x:v>
      </x:c>
      <x:c r="C62" s="47" t="str">
        <x:v>Business Integrity</x:v>
      </x:c>
      <x:c r="D62" s="47" t="str">
        <x:v>P0</x:v>
      </x:c>
      <x:c r="E62" s="47" t="str"/>
      <x:c r="F62" s="47" t="str">
        <x:v>Completion != mastery</x:v>
      </x:c>
      <x:c r="G62" s="47" t="str">
        <x:v>Cycle summary/profile</x:v>
      </x:c>
      <x:c r="H62" s="47" t="str">
        <x:v>Inspect completion/evidence language.</x:v>
      </x:c>
      <x:c r="I62" s="47" t="str">
        <x:v>Completing a cycle is not labelled mastery/pass unless separate evidence supports it.</x:v>
      </x:c>
      <x:c r="J62" s="47" t="str">
        <x:v>Codex</x:v>
      </x:c>
      <x:c r="K62" s="47" t="str">
        <x:v>PASS</x:v>
      </x:c>
      <x:c r="L62" s="47" t="str">
        <x:v>evidence/codex/browser/QA-BIZ-002.json</x:v>
      </x:c>
      <x:c r="M62" s="47" t="str"/>
      <x:c r="N62" s="47" t="str">
        <x:v>Execution PASS; independent QA pending.</x:v>
      </x:c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7" t="str">
        <x:v>QA-BIZ-003</x:v>
      </x:c>
      <x:c r="B63" s="47" t="str">
        <x:v>QA</x:v>
      </x:c>
      <x:c r="C63" s="47" t="str">
        <x:v>Business Integrity</x:v>
      </x:c>
      <x:c r="D63" s="47" t="str">
        <x:v>P0</x:v>
      </x:c>
      <x:c r="E63" s="47" t="str">
        <x:v>PRD-04</x:v>
      </x:c>
      <x:c r="F63" s="47" t="str">
        <x:v>Skip != completion</x:v>
      </x:c>
      <x:c r="G63" s="47" t="str">
        <x:v>Skip path</x:v>
      </x:c>
      <x:c r="H63" s="47" t="str">
        <x:v>Complete a skip interaction.</x:v>
      </x:c>
      <x:c r="I63" s="47" t="str">
        <x:v>No streak/mastery/completion reward copy appears.</x:v>
      </x:c>
      <x:c r="J63" s="47" t="str">
        <x:v>Codex</x:v>
      </x:c>
      <x:c r="K63" s="47" t="str">
        <x:v>PASS</x:v>
      </x:c>
      <x:c r="L63" s="47" t="str">
        <x:v>evidence/codex/browser/QA-BIZ-003.json</x:v>
      </x:c>
      <x:c r="M63" s="47" t="str"/>
      <x:c r="N63" s="47" t="str">
        <x:v>Execution PASS; independent QA pending.</x:v>
      </x:c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7" t="str">
        <x:v>QA-BIZ-004</x:v>
      </x:c>
      <x:c r="B64" s="47" t="str">
        <x:v>QA</x:v>
      </x:c>
      <x:c r="C64" s="47" t="str">
        <x:v>Business Integrity</x:v>
      </x:c>
      <x:c r="D64" s="47" t="str">
        <x:v>P0</x:v>
      </x:c>
      <x:c r="E64" s="47" t="str">
        <x:v>PRD-03</x:v>
      </x:c>
      <x:c r="F64" s="47" t="str">
        <x:v>Assisted != unaided</x:v>
      </x:c>
      <x:c r="G64" s="47" t="str">
        <x:v>Hint path</x:v>
      </x:c>
      <x:c r="H64" s="47" t="str">
        <x:v>Use hint then correct.</x:v>
      </x:c>
      <x:c r="I64" s="47" t="str">
        <x:v>Assistance remains visible in evidence/feedback semantics.</x:v>
      </x:c>
      <x:c r="J64" s="47" t="str">
        <x:v>Codex</x:v>
      </x:c>
      <x:c r="K64" s="47" t="str">
        <x:v>PASS</x:v>
      </x:c>
      <x:c r="L64" s="47" t="str">
        <x:v>evidence/codex/browser/QA-BIZ-004.json</x:v>
      </x:c>
      <x:c r="M64" s="47" t="str">
        <x:v>P2-D003</x:v>
      </x:c>
      <x:c r="N64" s="47" t="str">
        <x:v>Execution PASS; independent QA pending.</x:v>
      </x:c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7" t="str">
        <x:v>QA-BIZ-005</x:v>
      </x:c>
      <x:c r="B65" s="47" t="str">
        <x:v>QA</x:v>
      </x:c>
      <x:c r="C65" s="47" t="str">
        <x:v>Business Integrity</x:v>
      </x:c>
      <x:c r="D65" s="47" t="str">
        <x:v>P0</x:v>
      </x:c>
      <x:c r="E65" s="47" t="str">
        <x:v>PRD-05</x:v>
      </x:c>
      <x:c r="F65" s="47" t="str">
        <x:v>Playback telemetry authority</x:v>
      </x:c>
      <x:c r="G65" s="47" t="str">
        <x:v>Listening surfaces</x:v>
      </x:c>
      <x:c r="H65" s="47" t="str">
        <x:v>Inspect replay language.</x:v>
      </x:c>
      <x:c r="I65" s="47" t="str">
        <x:v>No statement says client replay count proves clean assessment.</x:v>
      </x:c>
      <x:c r="J65" s="47" t="str">
        <x:v>Codex</x:v>
      </x:c>
      <x:c r="K65" s="47" t="str">
        <x:v>PASS</x:v>
      </x:c>
      <x:c r="L65" s="47" t="str">
        <x:v>evidence/codex/browser/QA-BIZ-005.json</x:v>
      </x:c>
      <x:c r="M65" s="47" t="str"/>
      <x:c r="N65" s="47" t="str">
        <x:v>Execution PASS; independent QA pending.</x:v>
      </x:c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7" t="str">
        <x:v>QA-BIZ-006</x:v>
      </x:c>
      <x:c r="B66" s="47" t="str">
        <x:v>QA</x:v>
      </x:c>
      <x:c r="C66" s="47" t="str">
        <x:v>Business Integrity</x:v>
      </x:c>
      <x:c r="D66" s="47" t="str">
        <x:v>P0</x:v>
      </x:c>
      <x:c r="E66" s="47" t="str">
        <x:v>PRD-07</x:v>
      </x:c>
      <x:c r="F66" s="47" t="str">
        <x:v>Challenge bounded</x:v>
      </x:c>
      <x:c r="G66" s="47" t="str">
        <x:v>Course/recommendation spec</x:v>
      </x:c>
      <x:c r="H66" s="47" t="str">
        <x:v>Inspect challenge state/rule.</x:v>
      </x:c>
      <x:c r="I66" s="47" t="str">
        <x:v>Challenge does not automatically change level/mastery/unlock.</x:v>
      </x:c>
      <x:c r="J66" s="47" t="str">
        <x:v>Codex</x:v>
      </x:c>
      <x:c r="K66" s="47" t="str">
        <x:v>PASS</x:v>
      </x:c>
      <x:c r="L66" s="47" t="str">
        <x:v>evidence/codex/review/QA-BIZ-006.json</x:v>
      </x:c>
      <x:c r="M66" s="47" t="str"/>
      <x:c r="N66" s="47" t="str">
        <x:v>Execution PASS; independent QA pending.</x:v>
      </x:c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7" t="str">
        <x:v>QA-BIZ-007</x:v>
      </x:c>
      <x:c r="B67" s="47" t="str">
        <x:v>QA</x:v>
      </x:c>
      <x:c r="C67" s="47" t="str">
        <x:v>Business Integrity</x:v>
      </x:c>
      <x:c r="D67" s="47" t="str">
        <x:v>P0</x:v>
      </x:c>
      <x:c r="E67" s="47" t="str">
        <x:v>PRD-08</x:v>
      </x:c>
      <x:c r="F67" s="47" t="str">
        <x:v>Focus/prerequisite</x:v>
      </x:c>
      <x:c r="G67" s="47" t="str">
        <x:v>Course/recommendation spec</x:v>
      </x:c>
      <x:c r="H67" s="47" t="str">
        <x:v>Select locked/focus objective.</x:v>
      </x:c>
      <x:c r="I67" s="47" t="str">
        <x:v>Prerequisite reason is clear and cannot be bypassed by preference.</x:v>
      </x:c>
      <x:c r="J67" s="47" t="str">
        <x:v>Codex</x:v>
      </x:c>
      <x:c r="K67" s="47" t="str">
        <x:v>PASS</x:v>
      </x:c>
      <x:c r="L67" s="47" t="str">
        <x:v>evidence/codex/browser/QA-BIZ-007.json</x:v>
      </x:c>
      <x:c r="M67" s="47" t="str"/>
      <x:c r="N67" s="47" t="str">
        <x:v>Execution PASS; independent QA pending.</x:v>
      </x:c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7" t="str">
        <x:v>QA-BIZ-008</x:v>
      </x:c>
      <x:c r="B68" s="47" t="str">
        <x:v>QA</x:v>
      </x:c>
      <x:c r="C68" s="47" t="str">
        <x:v>Business Integrity</x:v>
      </x:c>
      <x:c r="D68" s="47" t="str">
        <x:v>P0</x:v>
      </x:c>
      <x:c r="E68" s="47" t="str">
        <x:v>PRD-10</x:v>
      </x:c>
      <x:c r="F68" s="47" t="str">
        <x:v>Qualitative evidence</x:v>
      </x:c>
      <x:c r="G68" s="47" t="str">
        <x:v>Profile/evidence</x:v>
      </x:c>
      <x:c r="H68" s="47" t="str">
        <x:v>Inspect all evidence cards.</x:v>
      </x:c>
      <x:c r="I68" s="47" t="str">
        <x:v>No fake mastery percentage or diagnosis.</x:v>
      </x:c>
      <x:c r="J68" s="47" t="str">
        <x:v>Codex</x:v>
      </x:c>
      <x:c r="K68" s="47" t="str">
        <x:v>PASS</x:v>
      </x:c>
      <x:c r="L68" s="47" t="str">
        <x:v>evidence/codex/browser/QA-BIZ-008.json</x:v>
      </x:c>
      <x:c r="M68" s="47" t="str"/>
      <x:c r="N68" s="47" t="str">
        <x:v>Execution PASS; independent QA pending.</x:v>
      </x:c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7" t="str">
        <x:v>QA-BIZ-009</x:v>
      </x:c>
      <x:c r="B69" s="47" t="str">
        <x:v>QA</x:v>
      </x:c>
      <x:c r="C69" s="47" t="str">
        <x:v>Business Integrity</x:v>
      </x:c>
      <x:c r="D69" s="47" t="str">
        <x:v>P0</x:v>
      </x:c>
      <x:c r="E69" s="47" t="str">
        <x:v>PRD-11</x:v>
      </x:c>
      <x:c r="F69" s="47" t="str">
        <x:v>Streak separate from learning evidence</x:v>
      </x:c>
      <x:c r="G69" s="47" t="str">
        <x:v>Home/profile</x:v>
      </x:c>
      <x:c r="H69" s="47" t="str">
        <x:v>Inspect streak/target presentation.</x:v>
      </x:c>
      <x:c r="I69" s="47" t="str">
        <x:v>Streak is engagement and not shown as skill/mastery.</x:v>
      </x:c>
      <x:c r="J69" s="47" t="str">
        <x:v>Codex</x:v>
      </x:c>
      <x:c r="K69" s="47" t="str">
        <x:v>PASS</x:v>
      </x:c>
      <x:c r="L69" s="47" t="str">
        <x:v>evidence/codex/browser/QA-BIZ-009.json</x:v>
      </x:c>
      <x:c r="M69" s="47" t="str"/>
      <x:c r="N69" s="47" t="str">
        <x:v>Execution PASS; independent QA pending.</x:v>
      </x:c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7" t="str">
        <x:v>QA-BIZ-010</x:v>
      </x:c>
      <x:c r="B70" s="47" t="str">
        <x:v>QA</x:v>
      </x:c>
      <x:c r="C70" s="47" t="str">
        <x:v>Business Integrity</x:v>
      </x:c>
      <x:c r="D70" s="47" t="str">
        <x:v>P0</x:v>
      </x:c>
      <x:c r="E70" s="47" t="str">
        <x:v>PRD-12</x:v>
      </x:c>
      <x:c r="F70" s="47" t="str">
        <x:v>Rewards non-authoritative</x:v>
      </x:c>
      <x:c r="G70" s="47" t="str">
        <x:v>Summary/reward surfaces</x:v>
      </x:c>
      <x:c r="H70" s="47" t="str">
        <x:v>Inspect reward copy.</x:v>
      </x:c>
      <x:c r="I70" s="47" t="str">
        <x:v>Rewards do not alter mastery/prerequisite/Check semantics.</x:v>
      </x:c>
      <x:c r="J70" s="47" t="str">
        <x:v>Codex</x:v>
      </x:c>
      <x:c r="K70" s="47" t="str">
        <x:v>PASS</x:v>
      </x:c>
      <x:c r="L70" s="47" t="str">
        <x:v>evidence/codex/browser/QA-BIZ-010.json</x:v>
      </x:c>
      <x:c r="M70" s="47" t="str"/>
      <x:c r="N70" s="47" t="str">
        <x:v>Execution PASS; independent QA pending.</x:v>
      </x:c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7" t="str">
        <x:v>QA-BIZ-011</x:v>
      </x:c>
      <x:c r="B71" s="47" t="str">
        <x:v>QA</x:v>
      </x:c>
      <x:c r="C71" s="47" t="str">
        <x:v>Business Integrity</x:v>
      </x:c>
      <x:c r="D71" s="47" t="str">
        <x:v>P0</x:v>
      </x:c>
      <x:c r="E71" s="47" t="str">
        <x:v>PRD-13</x:v>
      </x:c>
      <x:c r="F71" s="47" t="str">
        <x:v>Recommendation reason truthful</x:v>
      </x:c>
      <x:c r="G71" s="47" t="str">
        <x:v>Home recommendation</x:v>
      </x:c>
      <x:c r="H71" s="47" t="str">
        <x:v>Inspect reason copy for due/prerequisite/current.</x:v>
      </x:c>
      <x:c r="I71" s="47" t="str">
        <x:v>Displayed reason matches defined reason category; no invented psychological cause.</x:v>
      </x:c>
      <x:c r="J71" s="47" t="str">
        <x:v>Codex</x:v>
      </x:c>
      <x:c r="K71" s="47" t="str">
        <x:v>PASS</x:v>
      </x:c>
      <x:c r="L71" s="47" t="str">
        <x:v>evidence/codex/browser/QA-BIZ-011.json</x:v>
      </x:c>
      <x:c r="M71" s="47" t="str"/>
      <x:c r="N71" s="47" t="str">
        <x:v>Execution PASS; independent QA pending.</x:v>
      </x:c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7" t="str">
        <x:v>QA-BIZ-012</x:v>
      </x:c>
      <x:c r="B72" s="47" t="str">
        <x:v>QA</x:v>
      </x:c>
      <x:c r="C72" s="47" t="str">
        <x:v>Business Integrity</x:v>
      </x:c>
      <x:c r="D72" s="47" t="str">
        <x:v>P0</x:v>
      </x:c>
      <x:c r="E72" s="47" t="str">
        <x:v>PRD-14</x:v>
      </x:c>
      <x:c r="F72" s="47" t="str">
        <x:v>Immutable revision UX</x:v>
      </x:c>
      <x:c r="G72" s="47" t="str">
        <x:v>Staff Content</x:v>
      </x:c>
      <x:c r="H72" s="47" t="str">
        <x:v>Inspect published revision actions.</x:v>
      </x:c>
      <x:c r="I72" s="47" t="str">
        <x:v>No direct edit-in-place; new draft/revision workflow.</x:v>
      </x:c>
      <x:c r="J72" s="47" t="str">
        <x:v>Codex</x:v>
      </x:c>
      <x:c r="K72" s="47" t="str">
        <x:v>PASS</x:v>
      </x:c>
      <x:c r="L72" s="47" t="str">
        <x:v>evidence/codex/browser/QA-BIZ-012.json</x:v>
      </x:c>
      <x:c r="M72" s="47" t="str"/>
      <x:c r="N72" s="47" t="str">
        <x:v>Execution PASS; independent QA pending.</x:v>
      </x:c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7" t="str">
        <x:v>QA-BIZ-013</x:v>
      </x:c>
      <x:c r="B73" s="47" t="str">
        <x:v>QA</x:v>
      </x:c>
      <x:c r="C73" s="47" t="str">
        <x:v>Business Integrity</x:v>
      </x:c>
      <x:c r="D73" s="47" t="str">
        <x:v>P0</x:v>
      </x:c>
      <x:c r="E73" s="47" t="str">
        <x:v>PRD-15</x:v>
      </x:c>
      <x:c r="F73" s="47" t="str">
        <x:v>Lifecycle separation</x:v>
      </x:c>
      <x:c r="G73" s="47" t="str">
        <x:v>Staff intervention/analytics spec</x:v>
      </x:c>
      <x:c r="H73" s="47" t="str">
        <x:v>Inspect documented data lifecycle.</x:v>
      </x:c>
      <x:c r="I73" s="47" t="str">
        <x:v>Decision/exposure/execution/outcome are not conflated.</x:v>
      </x:c>
      <x:c r="J73" s="47" t="str">
        <x:v>Codex</x:v>
      </x:c>
      <x:c r="K73" s="47" t="str">
        <x:v>PASS</x:v>
      </x:c>
      <x:c r="L73" s="47" t="str">
        <x:v>evidence/codex/browser/QA-BIZ-013.json</x:v>
      </x:c>
      <x:c r="M73" s="47" t="str"/>
      <x:c r="N73" s="47" t="str">
        <x:v>Execution PASS; independent QA pending.</x:v>
      </x:c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7" t="str">
        <x:v>QA-BIZ-014</x:v>
      </x:c>
      <x:c r="B74" s="47" t="str">
        <x:v>QA</x:v>
      </x:c>
      <x:c r="C74" s="47" t="str">
        <x:v>Business Integrity</x:v>
      </x:c>
      <x:c r="D74" s="47" t="str">
        <x:v>P0</x:v>
      </x:c>
      <x:c r="E74" s="47" t="str">
        <x:v>PRD-16</x:v>
      </x:c>
      <x:c r="F74" s="47" t="str">
        <x:v>ML-disabled fallback</x:v>
      </x:c>
      <x:c r="G74" s="47" t="str">
        <x:v>Home/Learn</x:v>
      </x:c>
      <x:c r="H74" s="47" t="str">
        <x:v>Simulate no recommendation.</x:v>
      </x:c>
      <x:c r="I74" s="47" t="str">
        <x:v>Usable deterministic/manual learning flow remains.</x:v>
      </x:c>
      <x:c r="J74" s="47" t="str">
        <x:v>Codex</x:v>
      </x:c>
      <x:c r="K74" s="47" t="str">
        <x:v>PASS</x:v>
      </x:c>
      <x:c r="L74" s="47" t="str">
        <x:v>evidence/codex/browser/QA-BIZ-014.json</x:v>
      </x:c>
      <x:c r="M74" s="47" t="str">
        <x:v>P2-D018</x:v>
      </x:c>
      <x:c r="N74" s="47" t="str">
        <x:v>Execution PASS; independent QA pending.</x:v>
      </x:c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7" t="str">
        <x:v>QA-ACC-001</x:v>
      </x:c>
      <x:c r="B75" s="47" t="str">
        <x:v>QA</x:v>
      </x:c>
      <x:c r="C75" s="47" t="str">
        <x:v>Accessibility/Responsive</x:v>
      </x:c>
      <x:c r="D75" s="47" t="str">
        <x:v>P0</x:v>
      </x:c>
      <x:c r="E75" s="47" t="str"/>
      <x:c r="F75" s="47" t="str">
        <x:v>Keyboard navigation staff</x:v>
      </x:c>
      <x:c r="G75" s="47" t="str">
        <x:v>Desktop staff prototype</x:v>
      </x:c>
      <x:c r="H75" s="47" t="str">
        <x:v>Navigate using Tab/Shift+Tab/Enter.</x:v>
      </x:c>
      <x:c r="I75" s="47" t="str">
        <x:v>All primary navigation/actions reachable with visible focus.</x:v>
      </x:c>
      <x:c r="J75" s="47" t="str">
        <x:v>Codex</x:v>
      </x:c>
      <x:c r="K75" s="47" t="str">
        <x:v>PASS</x:v>
      </x:c>
      <x:c r="L75" s="47" t="str">
        <x:v>evidence/codex/browser/QA-ACC-001.json</x:v>
      </x:c>
      <x:c r="M75" s="47" t="str">
        <x:v>P2-D014</x:v>
      </x:c>
      <x:c r="N75" s="47" t="str">
        <x:v>Execution PASS; independent QA pending.</x:v>
      </x:c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7" t="str">
        <x:v>QA-ACC-002</x:v>
      </x:c>
      <x:c r="B76" s="47" t="str">
        <x:v>QA</x:v>
      </x:c>
      <x:c r="C76" s="47" t="str">
        <x:v>Accessibility/Responsive</x:v>
      </x:c>
      <x:c r="D76" s="47" t="str">
        <x:v>P1</x:v>
      </x:c>
      <x:c r="E76" s="47" t="str"/>
      <x:c r="F76" s="47" t="str">
        <x:v>Focus order learner</x:v>
      </x:c>
      <x:c r="G76" s="47" t="str">
        <x:v>Learner prototype with keyboard</x:v>
      </x:c>
      <x:c r="H76" s="47" t="str">
        <x:v>Tab through current screen.</x:v>
      </x:c>
      <x:c r="I76" s="47" t="str">
        <x:v>Focus order follows visual/semantic order.</x:v>
      </x:c>
      <x:c r="J76" s="47" t="str">
        <x:v>Codex</x:v>
      </x:c>
      <x:c r="K76" s="47" t="str">
        <x:v>PASS</x:v>
      </x:c>
      <x:c r="L76" s="47" t="str">
        <x:v>evidence/codex/browser/QA-ACC-002.json</x:v>
      </x:c>
      <x:c r="M76" s="47" t="str">
        <x:v>P2-D014</x:v>
      </x:c>
      <x:c r="N76" s="47" t="str">
        <x:v>Execution PASS; independent QA pending.</x:v>
      </x:c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7" t="str">
        <x:v>QA-ACC-003</x:v>
      </x:c>
      <x:c r="B77" s="47" t="str">
        <x:v>QA</x:v>
      </x:c>
      <x:c r="C77" s="47" t="str">
        <x:v>Accessibility/Responsive</x:v>
      </x:c>
      <x:c r="D77" s="47" t="str">
        <x:v>P0</x:v>
      </x:c>
      <x:c r="E77" s="47" t="str"/>
      <x:c r="F77" s="47" t="str">
        <x:v>Touch targets</x:v>
      </x:c>
      <x:c r="G77" s="47" t="str">
        <x:v>Learner screens</x:v>
      </x:c>
      <x:c r="H77" s="47" t="str">
        <x:v>Inspect primary interactive targets.</x:v>
      </x:c>
      <x:c r="I77" s="47" t="str">
        <x:v>Primary tap targets meet 48dp target; no critical tiny icon-only action.</x:v>
      </x:c>
      <x:c r="J77" s="47" t="str">
        <x:v>Codex</x:v>
      </x:c>
      <x:c r="K77" s="47" t="str">
        <x:v>PASS</x:v>
      </x:c>
      <x:c r="L77" s="47" t="str">
        <x:v>evidence/codex/browser/QA-ACC-003.json</x:v>
      </x:c>
      <x:c r="M77" s="47" t="str"/>
      <x:c r="N77" s="47" t="str">
        <x:v>Execution PASS; independent QA pending.</x:v>
      </x:c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7" t="str">
        <x:v>QA-ACC-004</x:v>
      </x:c>
      <x:c r="B78" s="47" t="str">
        <x:v>QA</x:v>
      </x:c>
      <x:c r="C78" s="47" t="str">
        <x:v>Accessibility/Responsive</x:v>
      </x:c>
      <x:c r="D78" s="47" t="str">
        <x:v>P0</x:v>
      </x:c>
      <x:c r="E78" s="47" t="str"/>
      <x:c r="F78" s="47" t="str">
        <x:v>Contrast</x:v>
      </x:c>
      <x:c r="G78" s="47" t="str">
        <x:v>Design tokens/components</x:v>
      </x:c>
      <x:c r="H78" s="47" t="str">
        <x:v>Check text/button/status combinations.</x:v>
      </x:c>
      <x:c r="I78" s="47" t="str">
        <x:v>Target WCAG 2.2 AA contrast; semantic color never sole signal.</x:v>
      </x:c>
      <x:c r="J78" s="47" t="str">
        <x:v>Codex</x:v>
      </x:c>
      <x:c r="K78" s="47" t="str">
        <x:v>PASS</x:v>
      </x:c>
      <x:c r="L78" s="47" t="str">
        <x:v>evidence/codex/review/QA-ACC-004.json</x:v>
      </x:c>
      <x:c r="M78" s="47" t="str">
        <x:v>P2-D015</x:v>
      </x:c>
      <x:c r="N78" s="47" t="str">
        <x:v>Execution PASS; independent QA pending.</x:v>
      </x:c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7" t="str">
        <x:v>QA-ACC-005</x:v>
      </x:c>
      <x:c r="B79" s="47" t="str">
        <x:v>QA</x:v>
      </x:c>
      <x:c r="C79" s="47" t="str">
        <x:v>Accessibility/Responsive</x:v>
      </x:c>
      <x:c r="D79" s="47" t="str">
        <x:v>P1</x:v>
      </x:c>
      <x:c r="E79" s="47" t="str"/>
      <x:c r="F79" s="47" t="str">
        <x:v>Text scaling</x:v>
      </x:c>
      <x:c r="G79" s="47" t="str">
        <x:v>Learner layout</x:v>
      </x:c>
      <x:c r="H79" s="47" t="str">
        <x:v>Simulate 200% browser text zoom as proxy.</x:v>
      </x:c>
      <x:c r="I79" s="47" t="str">
        <x:v>Critical copy/actions remain readable without overlap/loss.</x:v>
      </x:c>
      <x:c r="J79" s="47" t="str">
        <x:v>Codex</x:v>
      </x:c>
      <x:c r="K79" s="47" t="str">
        <x:v>PASS</x:v>
      </x:c>
      <x:c r="L79" s="47" t="str">
        <x:v>evidence/codex/browser/QA-ACC-005.json</x:v>
      </x:c>
      <x:c r="M79" s="47" t="str">
        <x:v>P2-D020</x:v>
      </x:c>
      <x:c r="N79" s="47" t="str">
        <x:v>Execution PASS; independent QA pending.</x:v>
      </x:c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7" t="str">
        <x:v>QA-ACC-006</x:v>
      </x:c>
      <x:c r="B80" s="47" t="str">
        <x:v>QA</x:v>
      </x:c>
      <x:c r="C80" s="47" t="str">
        <x:v>Accessibility/Responsive</x:v>
      </x:c>
      <x:c r="D80" s="47" t="str">
        <x:v>P1</x:v>
      </x:c>
      <x:c r="E80" s="47" t="str"/>
      <x:c r="F80" s="47" t="str">
        <x:v>Reduced motion</x:v>
      </x:c>
      <x:c r="G80" s="47" t="str">
        <x:v>Design system</x:v>
      </x:c>
      <x:c r="H80" s="47" t="str">
        <x:v>Inspect motion spec.</x:v>
      </x:c>
      <x:c r="I80" s="47" t="str">
        <x:v>Non-essential motion can be disabled/reduced.</x:v>
      </x:c>
      <x:c r="J80" s="47" t="str">
        <x:v>Codex</x:v>
      </x:c>
      <x:c r="K80" s="47" t="str">
        <x:v>PASS</x:v>
      </x:c>
      <x:c r="L80" s="47" t="str">
        <x:v>evidence/codex/browser/QA-ACC-006.json</x:v>
      </x:c>
      <x:c r="M80" s="47" t="str"/>
      <x:c r="N80" s="47" t="str">
        <x:v>Execution PASS; independent QA pending.</x:v>
      </x:c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7" t="str">
        <x:v>QA-ACC-007</x:v>
      </x:c>
      <x:c r="B81" s="47" t="str">
        <x:v>QA</x:v>
      </x:c>
      <x:c r="C81" s="47" t="str">
        <x:v>Accessibility/Responsive</x:v>
      </x:c>
      <x:c r="D81" s="47" t="str">
        <x:v>P0</x:v>
      </x:c>
      <x:c r="E81" s="47" t="str"/>
      <x:c r="F81" s="47" t="str">
        <x:v>Screen-reader names</x:v>
      </x:c>
      <x:c r="G81" s="47" t="str">
        <x:v>Prototype controls</x:v>
      </x:c>
      <x:c r="H81" s="47" t="str">
        <x:v>Inspect buttons/inputs.</x:v>
      </x:c>
      <x:c r="I81" s="47" t="str">
        <x:v>Controls have meaningful labels/aria where needed.</x:v>
      </x:c>
      <x:c r="J81" s="47" t="str">
        <x:v>Codex</x:v>
      </x:c>
      <x:c r="K81" s="47" t="str">
        <x:v>PASS</x:v>
      </x:c>
      <x:c r="L81" s="47" t="str">
        <x:v>evidence/codex/browser/QA-ACC-007.json</x:v>
      </x:c>
      <x:c r="M81" s="47" t="str">
        <x:v>P2-D010</x:v>
      </x:c>
      <x:c r="N81" s="47" t="str">
        <x:v>Execution PASS; independent QA pending.</x:v>
      </x:c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7" t="str">
        <x:v>QA-ACC-008</x:v>
      </x:c>
      <x:c r="B82" s="47" t="str">
        <x:v>QA</x:v>
      </x:c>
      <x:c r="C82" s="47" t="str">
        <x:v>Accessibility/Responsive</x:v>
      </x:c>
      <x:c r="D82" s="47" t="str">
        <x:v>P0</x:v>
      </x:c>
      <x:c r="E82" s="47" t="str"/>
      <x:c r="F82" s="47" t="str">
        <x:v>Error identification</x:v>
      </x:c>
      <x:c r="G82" s="47" t="str">
        <x:v>Forms/system states</x:v>
      </x:c>
      <x:c r="H82" s="47" t="str">
        <x:v>Inspect errors.</x:v>
      </x:c>
      <x:c r="I82" s="47" t="str">
        <x:v>Error is communicated by text/icon, not red color alone.</x:v>
      </x:c>
      <x:c r="J82" s="47" t="str">
        <x:v>Codex</x:v>
      </x:c>
      <x:c r="K82" s="47" t="str">
        <x:v>PASS</x:v>
      </x:c>
      <x:c r="L82" s="47" t="str">
        <x:v>evidence/codex/browser/QA-ACC-008.json</x:v>
      </x:c>
      <x:c r="M82" s="47" t="str"/>
      <x:c r="N82" s="47" t="str">
        <x:v>Execution PASS; independent QA pending.</x:v>
      </x:c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7" t="str">
        <x:v>QA-ACC-009</x:v>
      </x:c>
      <x:c r="B83" s="47" t="str">
        <x:v>QA</x:v>
      </x:c>
      <x:c r="C83" s="47" t="str">
        <x:v>Accessibility/Responsive</x:v>
      </x:c>
      <x:c r="D83" s="47" t="str">
        <x:v>P1</x:v>
      </x:c>
      <x:c r="E83" s="47" t="str"/>
      <x:c r="F83" s="47" t="str">
        <x:v>Learner small width</x:v>
      </x:c>
      <x:c r="G83" s="47" t="str">
        <x:v>Set viewport ~360px</x:v>
      </x:c>
      <x:c r="H83" s="47" t="str">
        <x:v>Open Home/Learn/Profile.</x:v>
      </x:c>
      <x:c r="I83" s="47" t="str">
        <x:v>No horizontal overflow; primary actions visible.</x:v>
      </x:c>
      <x:c r="J83" s="47" t="str">
        <x:v>Codex</x:v>
      </x:c>
      <x:c r="K83" s="47" t="str">
        <x:v>PASS</x:v>
      </x:c>
      <x:c r="L83" s="47" t="str">
        <x:v>evidence/codex/browser/QA-ACC-009.json</x:v>
      </x:c>
      <x:c r="M83" s="47" t="str">
        <x:v>P2-D020</x:v>
      </x:c>
      <x:c r="N83" s="47" t="str">
        <x:v>Execution PASS; independent QA pending.</x:v>
      </x:c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7" t="str">
        <x:v>QA-ACC-010</x:v>
      </x:c>
      <x:c r="B84" s="47" t="str">
        <x:v>QA</x:v>
      </x:c>
      <x:c r="C84" s="47" t="str">
        <x:v>Accessibility/Responsive</x:v>
      </x:c>
      <x:c r="D84" s="47" t="str">
        <x:v>P1</x:v>
      </x:c>
      <x:c r="E84" s="47" t="str"/>
      <x:c r="F84" s="47" t="str">
        <x:v>Learner large phone</x:v>
      </x:c>
      <x:c r="G84" s="47" t="str">
        <x:v>Set viewport ~480px</x:v>
      </x:c>
      <x:c r="H84" s="47" t="str">
        <x:v>Open core screens.</x:v>
      </x:c>
      <x:c r="I84" s="47" t="str">
        <x:v>Layout remains bounded/readable; no excessive line length.</x:v>
      </x:c>
      <x:c r="J84" s="47" t="str">
        <x:v>Codex</x:v>
      </x:c>
      <x:c r="K84" s="47" t="str">
        <x:v>PASS</x:v>
      </x:c>
      <x:c r="L84" s="47" t="str">
        <x:v>evidence/codex/browser/QA-ACC-010.json</x:v>
      </x:c>
      <x:c r="M84" s="47" t="str"/>
      <x:c r="N84" s="47" t="str">
        <x:v>Execution PASS; independent QA pending.</x:v>
      </x:c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7" t="str">
        <x:v>QA-ACC-011</x:v>
      </x:c>
      <x:c r="B85" s="47" t="str">
        <x:v>QA</x:v>
      </x:c>
      <x:c r="C85" s="47" t="str">
        <x:v>Accessibility/Responsive</x:v>
      </x:c>
      <x:c r="D85" s="47" t="str">
        <x:v>P1</x:v>
      </x:c>
      <x:c r="E85" s="47" t="str"/>
      <x:c r="F85" s="47" t="str">
        <x:v>Staff desktop</x:v>
      </x:c>
      <x:c r="G85" s="47" t="str">
        <x:v>Set viewport 1440px</x:v>
      </x:c>
      <x:c r="H85" s="47" t="str">
        <x:v>Open Staff Dashboard/Content.</x:v>
      </x:c>
      <x:c r="I85" s="47" t="str">
        <x:v>Sidebar/content widths usable; tables readable.</x:v>
      </x:c>
      <x:c r="J85" s="47" t="str">
        <x:v>Codex</x:v>
      </x:c>
      <x:c r="K85" s="47" t="str">
        <x:v>PASS</x:v>
      </x:c>
      <x:c r="L85" s="47" t="str">
        <x:v>evidence/codex/browser/QA-ACC-011.json</x:v>
      </x:c>
      <x:c r="M85" s="47" t="str"/>
      <x:c r="N85" s="47" t="str">
        <x:v>Execution PASS; independent QA pending.</x:v>
      </x:c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7" t="str">
        <x:v>QA-ACC-012</x:v>
      </x:c>
      <x:c r="B86" s="47" t="str">
        <x:v>QA</x:v>
      </x:c>
      <x:c r="C86" s="47" t="str">
        <x:v>Accessibility/Responsive</x:v>
      </x:c>
      <x:c r="D86" s="47" t="str">
        <x:v>P1</x:v>
      </x:c>
      <x:c r="E86" s="47" t="str"/>
      <x:c r="F86" s="47" t="str">
        <x:v>Staff compact laptop</x:v>
      </x:c>
      <x:c r="G86" s="47" t="str">
        <x:v>Set viewport 1024px</x:v>
      </x:c>
      <x:c r="H86" s="47" t="str">
        <x:v>Open Staff Content.</x:v>
      </x:c>
      <x:c r="I86" s="47" t="str">
        <x:v>Sidebar can compact; core task remains usable.</x:v>
      </x:c>
      <x:c r="J86" s="47" t="str">
        <x:v>Codex</x:v>
      </x:c>
      <x:c r="K86" s="47" t="str">
        <x:v>PASS</x:v>
      </x:c>
      <x:c r="L86" s="47" t="str">
        <x:v>evidence/codex/browser/QA-ACC-012.json</x:v>
      </x:c>
      <x:c r="M86" s="47" t="str"/>
      <x:c r="N86" s="47" t="str">
        <x:v>Execution PASS; independent QA pending.</x:v>
      </x:c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7" t="str">
        <x:v>QA-HO-001</x:v>
      </x:c>
      <x:c r="B87" s="47" t="str">
        <x:v>QA</x:v>
      </x:c>
      <x:c r="C87" s="47" t="str">
        <x:v>Handoff</x:v>
      </x:c>
      <x:c r="D87" s="47" t="str">
        <x:v>P0</x:v>
      </x:c>
      <x:c r="E87" s="47" t="str"/>
      <x:c r="F87" s="47" t="str">
        <x:v>Developer handoff completeness</x:v>
      </x:c>
      <x:c r="G87" s="47" t="str">
        <x:v>Phase 2 package</x:v>
      </x:c>
      <x:c r="H87" s="47" t="str">
        <x:v>Check routes, screen IDs, tokens, states, traceability and deferred boundaries.</x:v>
      </x:c>
      <x:c r="I87" s="47" t="str">
        <x:v>Developer can implement Phase 3–5 UI without inventing missing interaction semantics.</x:v>
      </x:c>
      <x:c r="J87" s="47" t="str">
        <x:v>Codex</x:v>
      </x:c>
      <x:c r="K87" s="47" t="str">
        <x:v>PASS</x:v>
      </x:c>
      <x:c r="L87" s="47" t="str">
        <x:v>evidence/codex/review/QA-HO-001.json</x:v>
      </x:c>
      <x:c r="M87" s="47" t="str">
        <x:v>P2-D011</x:v>
      </x:c>
      <x:c r="N87" s="47" t="str">
        <x:v>Execution PASS; independent QA pending.</x:v>
      </x:c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7" t="str">
        <x:v>QA-HO-002</x:v>
      </x:c>
      <x:c r="B88" s="47" t="str">
        <x:v>QA</x:v>
      </x:c>
      <x:c r="C88" s="47" t="str">
        <x:v>Handoff</x:v>
      </x:c>
      <x:c r="D88" s="47" t="str">
        <x:v>P1</x:v>
      </x:c>
      <x:c r="E88" s="47" t="str"/>
      <x:c r="F88" s="47" t="str">
        <x:v>Token source</x:v>
      </x:c>
      <x:c r="G88" s="47" t="str">
        <x:v>Design system</x:v>
      </x:c>
      <x:c r="H88" s="47" t="str">
        <x:v>Compare spec and design_tokens.json.</x:v>
      </x:c>
      <x:c r="I88" s="47" t="str">
        <x:v>Named tokens match; implementation can consume stable semantic names.</x:v>
      </x:c>
      <x:c r="J88" s="47" t="str">
        <x:v>Codex</x:v>
      </x:c>
      <x:c r="K88" s="47" t="str">
        <x:v>PASS</x:v>
      </x:c>
      <x:c r="L88" s="47" t="str">
        <x:v>evidence/codex/review/QA-HO-002.json</x:v>
      </x:c>
      <x:c r="M88" s="47" t="str">
        <x:v>P2-D015</x:v>
      </x:c>
      <x:c r="N88" s="47" t="str">
        <x:v>Execution PASS; independent QA pending.</x:v>
      </x:c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7" t="str">
        <x:v>QA-HO-003</x:v>
      </x:c>
      <x:c r="B89" s="47" t="str">
        <x:v>QA</x:v>
      </x:c>
      <x:c r="C89" s="47" t="str">
        <x:v>Handoff</x:v>
      </x:c>
      <x:c r="D89" s="47" t="str">
        <x:v>P1</x:v>
      </x:c>
      <x:c r="E89" s="47" t="str"/>
      <x:c r="F89" s="47" t="str">
        <x:v>Test ID guidance</x:v>
      </x:c>
      <x:c r="G89" s="47" t="str">
        <x:v>Developer handoff</x:v>
      </x:c>
      <x:c r="H89" s="47" t="str">
        <x:v>Inspect automation naming.</x:v>
      </x:c>
      <x:c r="I89" s="47" t="str">
        <x:v>Recommended data-testid keys are stable and derived from screen/component IDs.</x:v>
      </x:c>
      <x:c r="J89" s="47" t="str">
        <x:v>Codex</x:v>
      </x:c>
      <x:c r="K89" s="47" t="str">
        <x:v>PASS</x:v>
      </x:c>
      <x:c r="L89" s="47" t="str">
        <x:v>evidence/codex/review/QA-HO-003.json</x:v>
      </x:c>
      <x:c r="M89" s="47" t="str"/>
      <x:c r="N89" s="47" t="str">
        <x:v>Execution PASS; independent QA pending.</x:v>
      </x:c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7" t="str">
        <x:v>QA-HO-004</x:v>
      </x:c>
      <x:c r="B90" s="47" t="str">
        <x:v>QA</x:v>
      </x:c>
      <x:c r="C90" s="47" t="str">
        <x:v>Handoff</x:v>
      </x:c>
      <x:c r="D90" s="47" t="str">
        <x:v>P0</x:v>
      </x:c>
      <x:c r="E90" s="47" t="str"/>
      <x:c r="F90" s="47" t="str">
        <x:v>No production code claim</x:v>
      </x:c>
      <x:c r="G90" s="47" t="str">
        <x:v>Prototype/docs</x:v>
      </x:c>
      <x:c r="H90" s="47" t="str">
        <x:v>Inspect release notes.</x:v>
      </x:c>
      <x:c r="I90" s="47" t="str">
        <x:v>Prototype clearly labelled non-production and contains no backend business implementation.</x:v>
      </x:c>
      <x:c r="J90" s="47" t="str">
        <x:v>Codex</x:v>
      </x:c>
      <x:c r="K90" s="47" t="str">
        <x:v>PASS</x:v>
      </x:c>
      <x:c r="L90" s="47" t="str">
        <x:v>evidence/codex/review/QA-HO-004.json</x:v>
      </x:c>
      <x:c r="M90" s="47" t="str"/>
      <x:c r="N90" s="47" t="str">
        <x:v>Execution PASS; independent QA pending.</x:v>
      </x:c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7" t="str">
        <x:v>QA-HO-005</x:v>
      </x:c>
      <x:c r="B91" s="47" t="str">
        <x:v>QA</x:v>
      </x:c>
      <x:c r="C91" s="47" t="str">
        <x:v>Handoff</x:v>
      </x:c>
      <x:c r="D91" s="47" t="str">
        <x:v>P0</x:v>
      </x:c>
      <x:c r="E91" s="47" t="str"/>
      <x:c r="F91" s="47" t="str">
        <x:v>QA package signoff fields</x:v>
      </x:c>
      <x:c r="G91" s="47" t="str">
        <x:v>QA workbook</x:v>
      </x:c>
      <x:c r="H91" s="47" t="str">
        <x:v>Open Signoff sheet.</x:v>
      </x:c>
      <x:c r="I91" s="47" t="str">
        <x:v>QC, QA, Product/Owner and Tech Lead fields exist with exit criteria.</x:v>
      </x:c>
      <x:c r="J91" s="47" t="str">
        <x:v>Codex</x:v>
      </x:c>
      <x:c r="K91" s="47" t="str">
        <x:v>PASS</x:v>
      </x:c>
      <x:c r="L91" s="47" t="str">
        <x:v>evidence/codex/review/QA-HO-005.json</x:v>
      </x:c>
      <x:c r="M91" s="47" t="str"/>
      <x:c r="N91" s="47" t="str">
        <x:v>Execution PASS; independent QA pending.</x:v>
      </x:c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 t="str">
        <x:v>QA-LRN-021</x:v>
      </x:c>
      <x:c r="B92" s="45" t="str">
        <x:v>QA</x:v>
      </x:c>
      <x:c r="C92" s="45" t="str">
        <x:v>Learner</x:v>
      </x:c>
      <x:c r="D92" s="45" t="str">
        <x:v>P0</x:v>
      </x:c>
      <x:c r="E92" s="45" t="str">
        <x:v>PRD-01; PRD-04</x:v>
      </x:c>
      <x:c r="F92" s="45" t="str">
        <x:v>Required-response steps reject blank submit</x:v>
      </x:c>
      <x:c r="G92" s="45" t="str">
        <x:v>Review/Transfer/Check item displayed with no option selected</x:v>
      </x:c>
      <x:c r="H92" s="45" t="str">
        <x:v>Press Submit / Submit and continue / Submit Check without selecting an answer.</x:v>
      </x:c>
      <x:c r="I92" s="45" t="str">
        <x:v>User remains on the item with accessible validation or an explicit Skip path; no answer/completion/evidence is fabricated.</x:v>
      </x:c>
      <x:c r="J92" s="45" t="str">
        <x:v>Codex</x:v>
      </x:c>
      <x:c r="K92" s="45" t="str">
        <x:v>PASS</x:v>
      </x:c>
      <x:c r="L92" s="45" t="str">
        <x:v>evidence/codex/browser/QA-LRN-021.json</x:v>
      </x:c>
      <x:c r="M92" s="45" t="str">
        <x:v>P2-D002</x:v>
      </x:c>
      <x:c r="N92" s="45" t="str">
        <x:v>Execution PASS; independent QA pending.</x:v>
      </x:c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 t="str">
        <x:v>QA-LRN-022</x:v>
      </x:c>
      <x:c r="B93" s="45" t="str">
        <x:v>QA</x:v>
      </x:c>
      <x:c r="C93" s="45" t="str">
        <x:v>Learner</x:v>
      </x:c>
      <x:c r="D93" s="45" t="str">
        <x:v>P1</x:v>
      </x:c>
      <x:c r="E93" s="45" t="str">
        <x:v>PRD-06</x:v>
      </x:c>
      <x:c r="F93" s="45" t="str">
        <x:v>Representative Grammar flow is executable</x:v>
      </x:c>
      <x:c r="G93" s="45" t="str">
        <x:v>Grammar MVP objective available</x:v>
      </x:c>
      <x:c r="H93" s="45" t="str">
        <x:v>Open Grammar Learn → Practice/Retrieve → Transfer → Check example.</x:v>
      </x:c>
      <x:c r="I93" s="45" t="str">
        <x:v>Scaffold, guided practice, changed-context transfer and independent Check are concretely testable without inventing interaction semantics.</x:v>
      </x:c>
      <x:c r="J93" s="45" t="str">
        <x:v>Codex</x:v>
      </x:c>
      <x:c r="K93" s="45" t="str">
        <x:v>PASS</x:v>
      </x:c>
      <x:c r="L93" s="45" t="str">
        <x:v>evidence/codex/browser/QA-LRN-022.json</x:v>
      </x:c>
      <x:c r="M93" s="45" t="str">
        <x:v>P2-D016</x:v>
      </x:c>
      <x:c r="N93" s="45" t="str">
        <x:v>Execution PASS; independent QA pending.</x:v>
      </x:c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 t="str">
        <x:v>QA-LRN-023</x:v>
      </x:c>
      <x:c r="B94" s="45" t="str">
        <x:v>QA</x:v>
      </x:c>
      <x:c r="C94" s="45" t="str">
        <x:v>Learner</x:v>
      </x:c>
      <x:c r="D94" s="45" t="str">
        <x:v>P1</x:v>
      </x:c>
      <x:c r="E94" s="45" t="str">
        <x:v>PRD-05; PRD-06</x:v>
      </x:c>
      <x:c r="F94" s="45" t="str">
        <x:v>Representative Listening flow is executable</x:v>
      </x:c>
      <x:c r="G94" s="45" t="str">
        <x:v>Listening MVP objective available</x:v>
      </x:c>
      <x:c r="H94" s="45" t="str">
        <x:v>Open Listening Practice and Check; inspect playback, replay policy, offline-media and completion behavior.</x:v>
      </x:c>
      <x:c r="I94" s="45" t="str">
        <x:v>Audio controls, offered-play policy, telemetry wording and media-unavailable behavior are concrete and testable; no physical-listening claim is made.</x:v>
      </x:c>
      <x:c r="J94" s="45" t="str">
        <x:v>Codex</x:v>
      </x:c>
      <x:c r="K94" s="45" t="str">
        <x:v>PASS</x:v>
      </x:c>
      <x:c r="L94" s="45" t="str">
        <x:v>evidence/codex/browser/QA-LRN-023.json</x:v>
      </x:c>
      <x:c r="M94" s="45" t="str">
        <x:v>P2-D008; P2-D019</x:v>
      </x:c>
      <x:c r="N94" s="45" t="str">
        <x:v>Execution PASS; independent QA pending.</x:v>
      </x:c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 t="str">
        <x:v>QA-STF-011</x:v>
      </x:c>
      <x:c r="B95" s="45" t="str">
        <x:v>QA</x:v>
      </x:c>
      <x:c r="C95" s="45" t="str">
        <x:v>Staff</x:v>
      </x:c>
      <x:c r="D95" s="45" t="str">
        <x:v>P1</x:v>
      </x:c>
      <x:c r="E95" s="45" t="str">
        <x:v>PRD-14</x:v>
      </x:c>
      <x:c r="F95" s="45" t="str">
        <x:v>Content publish lifecycle is executable end to end</x:v>
      </x:c>
      <x:c r="G95" s="45" t="str">
        <x:v>Draft content with provenance issue exists</x:v>
      </x:c>
      <x:c r="H95" s="45" t="str">
        <x:v>Edit draft → preview → submit review → resolve provenance → approve → confirm publish → inspect published revision → create new draft.</x:v>
      </x:c>
      <x:c r="I95" s="45" t="str">
        <x:v>Every transition is executable; published revision is immutable and editing requires a new draft/revision.</x:v>
      </x:c>
      <x:c r="J95" s="45" t="str">
        <x:v>Codex</x:v>
      </x:c>
      <x:c r="K95" s="45" t="str">
        <x:v>PASS</x:v>
      </x:c>
      <x:c r="L95" s="45" t="str">
        <x:v>evidence/codex/browser/QA-STF-011.json</x:v>
      </x:c>
      <x:c r="M95" s="45" t="str">
        <x:v>P2-D009</x:v>
      </x:c>
      <x:c r="N95" s="45" t="str">
        <x:v>Execution PASS; independent QA pending.</x:v>
      </x:c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 t="str">
        <x:v>QA-ACC-013</x:v>
      </x:c>
      <x:c r="B96" s="45" t="str">
        <x:v>QA</x:v>
      </x:c>
      <x:c r="C96" s="45" t="str">
        <x:v>Accessibility/Responsive</x:v>
      </x:c>
      <x:c r="D96" s="45" t="str">
        <x:v>P1</x:v>
      </x:c>
      <x:c r="E96" s="45" t="str"/>
      <x:c r="F96" s="45" t="str">
        <x:v>Critical form fields have programmatic accessible names</x:v>
      </x:c>
      <x:c r="G96" s="45" t="str">
        <x:v>Staff Content editor open</x:v>
      </x:c>
      <x:c r="H96" s="45" t="str">
        <x:v>Inspect accessibility tree or equivalent name computation for Prompt and Source/license fields.</x:v>
      </x:c>
      <x:c r="I96" s="45" t="str">
        <x:v>Each form control has a stable accessible name associated programmatically, not only visually adjacent text.</x:v>
      </x:c>
      <x:c r="J96" s="45" t="str">
        <x:v>Codex</x:v>
      </x:c>
      <x:c r="K96" s="45" t="str">
        <x:v>PASS</x:v>
      </x:c>
      <x:c r="L96" s="45" t="str">
        <x:v>evidence/codex/browser/QA-ACC-013.json</x:v>
      </x:c>
      <x:c r="M96" s="45" t="str">
        <x:v>P2-D010</x:v>
      </x:c>
      <x:c r="N96" s="45" t="str">
        <x:v>Execution PASS; independent QA pending.</x:v>
      </x:c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 t="str">
        <x:v>QA-HO-006</x:v>
      </x:c>
      <x:c r="B97" s="45" t="str">
        <x:v>QA</x:v>
      </x:c>
      <x:c r="C97" s="45" t="str">
        <x:v>Handoff</x:v>
      </x:c>
      <x:c r="D97" s="45" t="str">
        <x:v>P1</x:v>
      </x:c>
      <x:c r="E97" s="45" t="str"/>
      <x:c r="F97" s="45" t="str">
        <x:v>Gate-critical Screen/State → QA mapping is explicit</x:v>
      </x:c>
      <x:c r="G97" s="45" t="str">
        <x:v>Screen inventory, state catalog and QA suite available</x:v>
      </x:c>
      <x:c r="H97" s="45" t="str">
        <x:v>Trace every gate-critical screen and state to at least one QA case; flag supporting-only screens explicitly.</x:v>
      </x:c>
      <x:c r="I97" s="45" t="str">
        <x:v>Coverage can be audited without manually inferring screen IDs from prose.</x:v>
      </x:c>
      <x:c r="J97" s="45" t="str">
        <x:v>Codex</x:v>
      </x:c>
      <x:c r="K97" s="45" t="str">
        <x:v>PASS</x:v>
      </x:c>
      <x:c r="L97" s="45" t="str">
        <x:v>evidence/codex/review/QA-HO-006.json</x:v>
      </x:c>
      <x:c r="M97" s="45" t="str">
        <x:v>P2-D012</x:v>
      </x:c>
      <x:c r="N97" s="45" t="str">
        <x:v>Execution PASS; independent QA pending.</x:v>
      </x:c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 t="str">
        <x:v>QA-OFF-007</x:v>
      </x:c>
      <x:c r="B98" s="45" t="str">
        <x:v>QA</x:v>
      </x:c>
      <x:c r="C98" s="45" t="str">
        <x:v>Offline/System</x:v>
      </x:c>
      <x:c r="D98" s="45" t="str">
        <x:v>P0</x:v>
      </x:c>
      <x:c r="E98" s="45" t="str">
        <x:v>PRD-15</x:v>
      </x:c>
      <x:c r="F98" s="45" t="str">
        <x:v>Restored connectivity does not equal server-confirmed sync</x:v>
      </x:c>
      <x:c r="G98" s="45" t="str">
        <x:v>A durable command is locally queued while offline</x:v>
      </x:c>
      <x:c r="H98" s="45" t="str">
        <x:v>Restore network but withhold/mock server acknowledgement; then inspect summary and sync status.</x:v>
      </x:c>
      <x:c r="I98" s="45" t="str">
        <x:v>State remains queued/syncing/retryable as appropriate; Synced appears only after authoritative acknowledgement/canonical refresh.</x:v>
      </x:c>
      <x:c r="J98" s="45" t="str">
        <x:v>Codex</x:v>
      </x:c>
      <x:c r="K98" s="45" t="str">
        <x:v>PASS</x:v>
      </x:c>
      <x:c r="L98" s="45" t="str">
        <x:v>evidence/codex/browser/QA-OFF-007.json</x:v>
      </x:c>
      <x:c r="M98" s="45" t="str">
        <x:v>P2-D004</x:v>
      </x:c>
      <x:c r="N98" s="45" t="str">
        <x:v>Execution PASS; independent QA pending.</x:v>
      </x:c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N1"/>
    <x:mergeCell ref="A2:N2"/>
  </x:mergeCells>
  <x:conditionalFormatting sqref="K5:K250">
    <x:cfRule type="expression" dxfId="12" priority="1">
      <x:formula>$K5="PASS"</x:formula>
    </x:cfRule>
    <x:cfRule type="expression" dxfId="13" priority="2">
      <x:formula>$K5="DONE"</x:formula>
    </x:cfRule>
    <x:cfRule type="expression" dxfId="14" priority="3">
      <x:formula>$K5="SIGNED"</x:formula>
    </x:cfRule>
    <x:cfRule type="expression" dxfId="15" priority="4">
      <x:formula>$K5="ACCEPTED"</x:formula>
    </x:cfRule>
    <x:cfRule type="expression" dxfId="16" priority="5">
      <x:formula>$K5="FAIL"</x:formula>
    </x:cfRule>
    <x:cfRule type="expression" dxfId="17" priority="6">
      <x:formula>$K5="BLOCKED"</x:formula>
    </x:cfRule>
    <x:cfRule type="expression" dxfId="18" priority="7">
      <x:formula>$K5="NOT PASSED"</x:formula>
    </x:cfRule>
    <x:cfRule type="expression" dxfId="19" priority="8">
      <x:formula>$K5="NOT RUN"</x:formula>
    </x:cfRule>
    <x:cfRule type="expression" dxfId="20" priority="9">
      <x:formula>$K5="PENDING"</x:formula>
    </x:cfRule>
    <x:cfRule type="expression" dxfId="21" priority="10">
      <x:formula>$K5="IN PROGRESS"</x:formula>
    </x:cfRule>
    <x:cfRule type="expression" dxfId="22" priority="11">
      <x:formula>$K5="READY"</x:formula>
    </x:cfRule>
    <x:cfRule type="expression" dxfId="23" priority="12">
      <x:formula>$K5="DEFERRED"</x:formula>
    </x:cfRule>
  </x:conditionalFormatting>
  <x:dataValidations count="2">
    <x:dataValidation type="list" sqref="D5:D250">
      <x:formula1>"P0,P1,P2,P3"</x:formula1>
    </x:dataValidation>
    <x:dataValidation type="list" sqref="K5:K250">
      <x:formula1>"NOT RUN,IN PROGRESS,PASS,FAIL,BLOCKED,DEFERRED"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62b5cd6d9245d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4" hidden="0" customWidth="1"/>
    <x:col min="3" max="3" width="64" hidden="0" customWidth="1"/>
    <x:col min="4" max="4" width="18" hidden="0" customWidth="1"/>
    <x:col min="5" max="5" width="16" hidden="0" customWidth="1"/>
    <x:col min="6" max="6" width="34" hidden="0" customWidth="1"/>
    <x:col min="7" max="7" width="48" hidden="0" customWidth="1"/>
  </x:cols>
  <x:sheetData>
    <x:row r="1" ht="28" customHeight="1">
      <x:c r="A1" s="4" t="str">
        <x:v>QC ARTIFACT CHECKLIST</x:v>
      </x:c>
      <x:c r="B1" s="4"/>
      <x:c r="C1" s="4"/>
      <x:c r="D1" s="4"/>
      <x:c r="E1" s="4"/>
      <x:c r="F1" s="4"/>
      <x:c r="G1" s="4"/>
      <x:c r="H1" s="58"/>
      <x:c r="I1" s="58"/>
      <x:c r="J1" s="58"/>
      <x:c r="K1" s="58"/>
      <x:c r="L1" s="58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Static conformity review before behavior QA.</x:v>
      </x:c>
      <x:c r="B2" s="11"/>
      <x:c r="C2" s="11"/>
      <x:c r="D2" s="11"/>
      <x:c r="E2" s="11"/>
      <x:c r="F2" s="11"/>
      <x:c r="G2" s="11"/>
      <x:c r="H2" s="45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QC ID</x:v>
      </x:c>
      <x:c r="B4" s="46" t="str">
        <x:v>Check</x:v>
      </x:c>
      <x:c r="C4" s="46" t="str">
        <x:v>Expected</x:v>
      </x:c>
      <x:c r="D4" s="46" t="str">
        <x:v>Reviewer</x:v>
      </x:c>
      <x:c r="E4" s="46" t="str">
        <x:v>Status</x:v>
      </x:c>
      <x:c r="F4" s="46" t="str">
        <x:v>Evidence</x:v>
      </x:c>
      <x:c r="G4" s="46" t="str">
        <x:v>Notes</x:v>
      </x:c>
      <x:c r="H4" s="45"/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QC-001</x:v>
      </x:c>
      <x:c r="B5" s="47" t="str">
        <x:v>Required Phase 2 artifacts exist</x:v>
      </x:c>
      <x:c r="C5" s="47" t="str">
        <x:v>Every file in handoff index exists and opens.</x:v>
      </x:c>
      <x:c r="D5" s="47" t="str">
        <x:v>Codex</x:v>
      </x:c>
      <x:c r="E5" s="47" t="str">
        <x:v>PASS</x:v>
      </x:c>
      <x:c r="F5" s="47" t="str">
        <x:v>evidence/codex/review/QC-001.json</x:v>
      </x:c>
      <x:c r="G5" s="47" t="str">
        <x:v>Execution review; independent QC pending.</x:v>
      </x:c>
      <x:c r="H5" s="45"/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 t="str">
        <x:v>QC-002</x:v>
      </x:c>
      <x:c r="B6" s="47" t="str">
        <x:v>V3.2 remains untouched</x:v>
      </x:c>
      <x:c r="C6" s="47" t="str">
        <x:v>No Phase 2 artifact silently modifies original V3.2 source.</x:v>
      </x:c>
      <x:c r="D6" s="47" t="str">
        <x:v>Codex</x:v>
      </x:c>
      <x:c r="E6" s="47" t="str">
        <x:v>PASS</x:v>
      </x:c>
      <x:c r="F6" s="47" t="str">
        <x:v>evidence/codex/review/QC-002.json</x:v>
      </x:c>
      <x:c r="G6" s="47" t="str">
        <x:v>Execution review; independent QC pending.</x:v>
      </x:c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 t="str">
        <x:v>QC-003</x:v>
      </x:c>
      <x:c r="B7" s="47" t="str">
        <x:v>Phase boundary is explicit</x:v>
      </x:c>
      <x:c r="C7" s="47" t="str">
        <x:v>Docs identify Phase 3+ behavior as future/deferred, not implemented.</x:v>
      </x:c>
      <x:c r="D7" s="47" t="str">
        <x:v>Codex</x:v>
      </x:c>
      <x:c r="E7" s="47" t="str">
        <x:v>PASS</x:v>
      </x:c>
      <x:c r="F7" s="47" t="str">
        <x:v>evidence/codex/review/QC-003.json</x:v>
      </x:c>
      <x:c r="G7" s="47" t="str">
        <x:v>Execution review; independent QC pending.</x:v>
      </x:c>
      <x:c r="H7" s="45"/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 t="str">
        <x:v>QC-004</x:v>
      </x:c>
      <x:c r="B8" s="47" t="str">
        <x:v>Screen IDs unique</x:v>
      </x:c>
      <x:c r="C8" s="47" t="str">
        <x:v>All learner/staff screen IDs are unique and traceable.</x:v>
      </x:c>
      <x:c r="D8" s="47" t="str">
        <x:v>Codex</x:v>
      </x:c>
      <x:c r="E8" s="47" t="str">
        <x:v>PASS</x:v>
      </x:c>
      <x:c r="F8" s="47" t="str">
        <x:v>evidence/codex/review/QC-004.json</x:v>
      </x:c>
      <x:c r="G8" s="47" t="str">
        <x:v>Execution review; independent QC pending.</x:v>
      </x:c>
      <x:c r="H8" s="45"/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7" t="str">
        <x:v>QC-005</x:v>
      </x:c>
      <x:c r="B9" s="47" t="str">
        <x:v>Routes documented</x:v>
      </x:c>
      <x:c r="C9" s="47" t="str">
        <x:v>Every inventory screen has a route or overlay identity.</x:v>
      </x:c>
      <x:c r="D9" s="47" t="str">
        <x:v>Codex</x:v>
      </x:c>
      <x:c r="E9" s="47" t="str">
        <x:v>PASS</x:v>
      </x:c>
      <x:c r="F9" s="47" t="str">
        <x:v>evidence/codex/review/QC-005.json</x:v>
      </x:c>
      <x:c r="G9" s="47" t="str">
        <x:v>Execution review; independent QC pending.</x:v>
      </x:c>
      <x:c r="H9" s="45"/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7" t="str">
        <x:v>QC-006</x:v>
      </x:c>
      <x:c r="B10" s="47" t="str">
        <x:v>PRD traceability complete</x:v>
      </x:c>
      <x:c r="C10" s="47" t="str">
        <x:v>PRD-01..PRD-16 all map to UX surfaces and QA cases.</x:v>
      </x:c>
      <x:c r="D10" s="47" t="str">
        <x:v>Codex</x:v>
      </x:c>
      <x:c r="E10" s="47" t="str">
        <x:v>PASS</x:v>
      </x:c>
      <x:c r="F10" s="47" t="str">
        <x:v>evidence/codex/review/QC-006.json</x:v>
      </x:c>
      <x:c r="G10" s="47" t="str">
        <x:v>Execution review; independent QC pending.</x:v>
      </x:c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7" t="str">
        <x:v>QC-007</x:v>
      </x:c>
      <x:c r="B11" s="47" t="str">
        <x:v>Locked vs hypothesis language</x:v>
      </x:c>
      <x:c r="C11" s="47" t="str">
        <x:v>5m/retry/replay/placement thresholds are labelled hypotheses where applicable.</x:v>
      </x:c>
      <x:c r="D11" s="47" t="str">
        <x:v>Codex</x:v>
      </x:c>
      <x:c r="E11" s="47" t="str">
        <x:v>PASS</x:v>
      </x:c>
      <x:c r="F11" s="47" t="str">
        <x:v>evidence/codex/review/QC-007.json</x:v>
      </x:c>
      <x:c r="G11" s="47" t="str">
        <x:v>Execution review; independent QC pending.</x:v>
      </x:c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7" t="str">
        <x:v>QC-008</x:v>
      </x:c>
      <x:c r="B12" s="47" t="str">
        <x:v>No false learning claims</x:v>
      </x:c>
      <x:c r="C12" s="47" t="str">
        <x:v>No precise mastery/diagnosis/efficacy claim appears in learner copy.</x:v>
      </x:c>
      <x:c r="D12" s="47" t="str">
        <x:v>Codex</x:v>
      </x:c>
      <x:c r="E12" s="47" t="str">
        <x:v>PASS</x:v>
      </x:c>
      <x:c r="F12" s="47" t="str">
        <x:v>evidence/codex/review/QC-008.json</x:v>
      </x:c>
      <x:c r="G12" s="47" t="str">
        <x:v>Execution review; independent QC pending.</x:v>
      </x:c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7" t="str">
        <x:v>QC-009</x:v>
      </x:c>
      <x:c r="B13" s="47" t="str">
        <x:v>No credential material</x:v>
      </x:c>
      <x:c r="C13" s="47" t="str">
        <x:v>No password/token/secret URL in Phase 2 package.</x:v>
      </x:c>
      <x:c r="D13" s="47" t="str">
        <x:v>Codex</x:v>
      </x:c>
      <x:c r="E13" s="47" t="str">
        <x:v>PASS</x:v>
      </x:c>
      <x:c r="F13" s="47" t="str">
        <x:v>evidence/codex/review/QC-009.json</x:v>
      </x:c>
      <x:c r="G13" s="47" t="str">
        <x:v>Execution review; independent QC pending.</x:v>
      </x:c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7" t="str">
        <x:v>QC-010</x:v>
      </x:c>
      <x:c r="B14" s="47" t="str">
        <x:v>Prototype is self-contained</x:v>
      </x:c>
      <x:c r="C14" s="47" t="str">
        <x:v>No external CDN/network dependency is required to render prototype.</x:v>
      </x:c>
      <x:c r="D14" s="47" t="str">
        <x:v>Codex</x:v>
      </x:c>
      <x:c r="E14" s="47" t="str">
        <x:v>PASS</x:v>
      </x:c>
      <x:c r="F14" s="47" t="str">
        <x:v>evidence/codex/review/QC-010.json</x:v>
      </x:c>
      <x:c r="G14" s="47" t="str">
        <x:v>Execution review; independent QC pending.</x:v>
      </x:c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G1"/>
    <x:mergeCell ref="A2:G2"/>
  </x:mergeCells>
  <x:conditionalFormatting sqref="E5:E100">
    <x:cfRule type="expression" dxfId="24" priority="1">
      <x:formula>$E5="PASS"</x:formula>
    </x:cfRule>
    <x:cfRule type="expression" dxfId="25" priority="2">
      <x:formula>$E5="DONE"</x:formula>
    </x:cfRule>
    <x:cfRule type="expression" dxfId="26" priority="3">
      <x:formula>$E5="SIGNED"</x:formula>
    </x:cfRule>
    <x:cfRule type="expression" dxfId="27" priority="4">
      <x:formula>$E5="ACCEPTED"</x:formula>
    </x:cfRule>
    <x:cfRule type="expression" dxfId="28" priority="5">
      <x:formula>$E5="FAIL"</x:formula>
    </x:cfRule>
    <x:cfRule type="expression" dxfId="29" priority="6">
      <x:formula>$E5="BLOCKED"</x:formula>
    </x:cfRule>
    <x:cfRule type="expression" dxfId="30" priority="7">
      <x:formula>$E5="NOT PASSED"</x:formula>
    </x:cfRule>
    <x:cfRule type="expression" dxfId="31" priority="8">
      <x:formula>$E5="NOT RUN"</x:formula>
    </x:cfRule>
    <x:cfRule type="expression" dxfId="32" priority="9">
      <x:formula>$E5="PENDING"</x:formula>
    </x:cfRule>
    <x:cfRule type="expression" dxfId="33" priority="10">
      <x:formula>$E5="IN PROGRESS"</x:formula>
    </x:cfRule>
    <x:cfRule type="expression" dxfId="34" priority="11">
      <x:formula>$E5="READY"</x:formula>
    </x:cfRule>
    <x:cfRule type="expression" dxfId="35" priority="12">
      <x:formula>$E5="DEFERRED"</x:formula>
    </x:cfRule>
  </x:conditionalFormatting>
  <x:dataValidations count="1">
    <x:dataValidation type="list" sqref="E5:E100">
      <x:formula1>"NOT RUN,PASS,FAIL,BLOCKED"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6" hidden="0" customWidth="1"/>
    <x:col min="4" max="4" width="22" hidden="0" customWidth="1"/>
    <x:col min="5" max="5" width="11" hidden="0" customWidth="1"/>
    <x:col min="6" max="6" width="18" hidden="0" customWidth="1"/>
    <x:col min="7" max="7" width="38" hidden="0" customWidth="1"/>
    <x:col min="8" max="8" width="48" hidden="0" customWidth="1"/>
    <x:col min="9" max="9" width="48" hidden="0" customWidth="1"/>
    <x:col min="10" max="10" width="18" hidden="0" customWidth="1"/>
    <x:col min="11" max="11" width="22" hidden="0" customWidth="1"/>
    <x:col min="12" max="12" width="18" hidden="0" customWidth="1"/>
    <x:col min="13" max="13" width="18" hidden="0" customWidth="1"/>
    <x:col min="14" max="14" width="44" hidden="0" customWidth="1"/>
  </x:cols>
  <x:sheetData>
    <x:row r="1" ht="28" customHeight="1">
      <x:c r="A1" s="4" t="str">
        <x:v>PHASE 2 DEFECT LOG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Use P2-D###. Frozen-rule conflicts escalate, not silently redesigned.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Defect ID</x:v>
      </x:c>
      <x:c r="B4" s="46" t="str">
        <x:v>Opened</x:v>
      </x:c>
      <x:c r="C4" s="46" t="str">
        <x:v>Test ID</x:v>
      </x:c>
      <x:c r="D4" s="46" t="str">
        <x:v>Screen/Component</x:v>
      </x:c>
      <x:c r="E4" s="46" t="str">
        <x:v>Severity</x:v>
      </x:c>
      <x:c r="F4" s="46" t="str">
        <x:v>Status</x:v>
      </x:c>
      <x:c r="G4" s="46" t="str">
        <x:v>Title</x:v>
      </x:c>
      <x:c r="H4" s="46" t="str">
        <x:v>Expected</x:v>
      </x:c>
      <x:c r="I4" s="46" t="str">
        <x:v>Actual</x:v>
      </x:c>
      <x:c r="J4" s="46" t="str">
        <x:v>Owner</x:v>
      </x:c>
      <x:c r="K4" s="46" t="str">
        <x:v>Fix candidate</x:v>
      </x:c>
      <x:c r="L4" s="46" t="str">
        <x:v>Retest result</x:v>
      </x:c>
      <x:c r="M4" s="46" t="str">
        <x:v>Reviewer</x:v>
      </x:c>
      <x:c r="N4" s="46" t="str">
        <x:v>Resolution</x:v>
      </x:c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P2-D001</x:v>
      </x:c>
      <x:c r="B5" s="60" t="str">
        <x:v>2026-09-27</x:v>
      </x:c>
      <x:c r="C5" s="47" t="str">
        <x:v>QA-LRN-006</x:v>
      </x:c>
      <x:c r="D5" s="47" t="str">
        <x:v>L-024 / prototype Retrieve</x:v>
      </x:c>
      <x:c r="E5" s="47" t="str">
        <x:v>P0</x:v>
      </x:c>
      <x:c r="F5" s="47" t="str">
        <x:v>READY FOR RETEST</x:v>
      </x:c>
      <x:c r="G5" s="47" t="str">
        <x:v>Retrieve marks the wrong answer as correct</x:v>
      </x:c>
      <x:c r="H5" s="47" t="str">
        <x:v>Correct reply to “How are you?” must receive correct feedback; wrong distractors must not pass.</x:v>
      </x:c>
      <x:c r="I5" s="47" t="str">
        <x:v>submitRetrieve() checks selected==='go'; value 'go' belongs to “Go to school.” while correct reply uses value 'good'.</x:v>
      </x:c>
      <x:c r="J5" s="47" t="str">
        <x:v>UX/Prototype</x:v>
      </x:c>
      <x:c r="K5" s="47" t="str">
        <x:v>Correct the answer key; use data-driven answer keys and regression-test every prototype item.</x:v>
      </x:c>
      <x:c r="L5" s="47" t="str">
        <x:v>CODEX PASS; QA pending</x:v>
      </x:c>
      <x:c r="M5" s="47" t="str">
        <x:v>QC/QA Lead</x:v>
      </x:c>
      <x:c r="N5" s="47" t="str">
        <x:v>Execution evidence: DEFECT_RETEST_RESULTS.csv. Independent closure pending.</x:v>
      </x:c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 t="str">
        <x:v>P2-D002</x:v>
      </x:c>
      <x:c r="B6" s="60" t="str">
        <x:v>2026-09-27</x:v>
      </x:c>
      <x:c r="C6" s="47" t="str">
        <x:v>QA-LRN-001; QA-BIZ-002</x:v>
      </x:c>
      <x:c r="D6" s="47" t="str">
        <x:v>Review / Transfer / Check</x:v>
      </x:c>
      <x:c r="E6" s="47" t="str">
        <x:v>P0</x:v>
      </x:c>
      <x:c r="F6" s="47" t="str">
        <x:v>READY FOR RETEST</x:v>
      </x:c>
      <x:c r="G6" s="47" t="str">
        <x:v>Blank submissions can advance and complete the learning cycle</x:v>
      </x:c>
      <x:c r="H6" s="47" t="str">
        <x:v>Required-response steps must validate a selection or explicitly record Skip; Check must not complete without a response.</x:v>
      </x:c>
      <x:c r="I6" s="47" t="str">
        <x:v>Review, Transfer and Check submit buttons call nextCycle() directly; no selection validation is required.</x:v>
      </x:c>
      <x:c r="J6" s="47" t="str">
        <x:v>UX/Prototype</x:v>
      </x:c>
      <x:c r="K6" s="47" t="str">
        <x:v>Add response validation plus separate submit/result/continue states; prevent false completion.</x:v>
      </x:c>
      <x:c r="L6" s="47" t="str">
        <x:v>CODEX PASS; QA pending</x:v>
      </x:c>
      <x:c r="M6" s="47" t="str">
        <x:v>QC/QA Lead</x:v>
      </x:c>
      <x:c r="N6" s="47" t="str">
        <x:v>Execution evidence: DEFECT_RETEST_RESULTS.csv. Independent closure pending.</x:v>
      </x:c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 t="str">
        <x:v>P2-D003</x:v>
      </x:c>
      <x:c r="B7" s="60" t="str">
        <x:v>2026-09-27</x:v>
      </x:c>
      <x:c r="C7" s="47" t="str">
        <x:v>QA-LRN-008; QA-BIZ-004</x:v>
      </x:c>
      <x:c r="D7" s="47" t="str">
        <x:v>L-024 Retrieve</x:v>
      </x:c>
      <x:c r="E7" s="47" t="str">
        <x:v>P0</x:v>
      </x:c>
      <x:c r="F7" s="47" t="str">
        <x:v>READY FOR RETEST</x:v>
      </x:c>
      <x:c r="G7" s="47" t="str">
        <x:v>Hint-assisted evidence is lost after submit</x:v>
      </x:c>
      <x:c r="H7" s="47" t="str">
        <x:v>Once a hint is used, the response must remain tagged/presented as assisted through feedback/evidence semantics.</x:v>
      </x:c>
      <x:c r="I7" s="47" t="str">
        <x:v>useHint() sets feedback='hint', but submit overwrites it with good/bad; final copy no longer carries assistance context.</x:v>
      </x:c>
      <x:c r="J7" s="47" t="str">
        <x:v>UX/Prototype</x:v>
      </x:c>
      <x:c r="K7" s="47" t="str">
        <x:v>Persist assisted=true independently from feedback; render assisted feedback/evidence and test hint→answer.</x:v>
      </x:c>
      <x:c r="L7" s="47" t="str">
        <x:v>CODEX PASS; QA pending</x:v>
      </x:c>
      <x:c r="M7" s="47" t="str">
        <x:v>QC/QA Lead</x:v>
      </x:c>
      <x:c r="N7" s="47" t="str">
        <x:v>Execution evidence: DEFECT_RETEST_RESULTS.csv. Independent closure pending.</x:v>
      </x:c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 t="str">
        <x:v>P2-D004</x:v>
      </x:c>
      <x:c r="B8" s="60" t="str">
        <x:v>2026-09-27</x:v>
      </x:c>
      <x:c r="C8" s="47" t="str">
        <x:v>QA-OFF-002; QA-BIZ-001</x:v>
      </x:c>
      <x:c r="D8" s="47" t="str">
        <x:v>L-060 / Summary</x:v>
      </x:c>
      <x:c r="E8" s="47" t="str">
        <x:v>P1</x:v>
      </x:c>
      <x:c r="F8" s="47" t="str">
        <x:v>READY FOR RETEST</x:v>
      </x:c>
      <x:c r="G8" s="47" t="str">
        <x:v>Network restoration is presented as Synced without server acknowledgement</x:v>
      </x:c>
      <x:c r="H8" s="47" t="str">
        <x:v>LOCAL_QUEUED, SYNCING and SYNCED must be distinct; SYNCED requires authoritative acknowledgement/canonical state.</x:v>
      </x:c>
      <x:c r="I8" s="47" t="str">
        <x:v>Prototype derives “Synced/All caught up” directly from offline=false, with no receipt/ack/canonical transition.</x:v>
      </x:c>
      <x:c r="J8" s="47" t="str">
        <x:v>UX/Prototype</x:v>
      </x:c>
      <x:c r="K8" s="47" t="str">
        <x:v>Model explicit sync states; show Synced only after simulated server acknowledgement.</x:v>
      </x:c>
      <x:c r="L8" s="47" t="str">
        <x:v>CODEX PASS; QA pending</x:v>
      </x:c>
      <x:c r="M8" s="47" t="str">
        <x:v>QC/QA Lead</x:v>
      </x:c>
      <x:c r="N8" s="47" t="str">
        <x:v>Execution evidence: DEFECT_RETEST_RESULTS.csv. Independent closure pending.</x:v>
      </x:c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7" t="str">
        <x:v>P2-D005</x:v>
      </x:c>
      <x:c r="B9" s="60" t="str">
        <x:v>2026-09-27</x:v>
      </x:c>
      <x:c r="C9" s="47" t="str">
        <x:v>QA-LRN-007</x:v>
      </x:c>
      <x:c r="D9" s="47" t="str">
        <x:v>L-024 Retrieve</x:v>
      </x:c>
      <x:c r="E9" s="47" t="str">
        <x:v>P1</x:v>
      </x:c>
      <x:c r="F9" s="47" t="str">
        <x:v>READY FOR RETEST</x:v>
      </x:c>
      <x:c r="G9" s="47" t="str">
        <x:v>Retry can loop indefinitely</x:v>
      </x:c>
      <x:c r="H9" s="47" t="str">
        <x:v>Practice retry policy must be bounded/configurable and expose a clear exhausted/final-feedback state.</x:v>
      </x:c>
      <x:c r="I9" s="47" t="str">
        <x:v>Try once more resets selection/feedback with no retry counter or exhaustion state.</x:v>
      </x:c>
      <x:c r="J9" s="47" t="str">
        <x:v>UX/Prototype</x:v>
      </x:c>
      <x:c r="K9" s="47" t="str">
        <x:v>Add attempt counter/state and exhausted branch; preserve first-response evidence.</x:v>
      </x:c>
      <x:c r="L9" s="47" t="str">
        <x:v>CODEX PASS; QA pending</x:v>
      </x:c>
      <x:c r="M9" s="47" t="str">
        <x:v>QC/QA Lead</x:v>
      </x:c>
      <x:c r="N9" s="47" t="str">
        <x:v>Execution evidence: DEFECT_RETEST_RESULTS.csv. Independent closure pending.</x:v>
      </x:c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7" t="str">
        <x:v>P2-D006</x:v>
      </x:c>
      <x:c r="B10" s="60" t="str">
        <x:v>2026-09-27</x:v>
      </x:c>
      <x:c r="C10" s="47" t="str">
        <x:v>QA-OFF-003; QA-OFF-004</x:v>
      </x:c>
      <x:c r="D10" s="47" t="str">
        <x:v>L-061 / canonical refresh</x:v>
      </x:c>
      <x:c r="E10" s="47" t="str">
        <x:v>P1</x:v>
      </x:c>
      <x:c r="F10" s="47" t="str">
        <x:v>READY FOR RETEST</x:v>
      </x:c>
      <x:c r="G10" s="47" t="str">
        <x:v>Mandatory offline recovery states are specified but not executable</x:v>
      </x:c>
      <x:c r="H10" s="47" t="str">
        <x:v>Sync failure retry and canonical-refresh recovery must be reviewable/testable in the candidate.</x:v>
      </x:c>
      <x:c r="I10" s="47" t="str">
        <x:v>Prototype only exposes offline waiting vs all-caught-up; no interactive retry failure/canonical refresh state.</x:v>
      </x:c>
      <x:c r="J10" s="47" t="str">
        <x:v>UX/Prototype</x:v>
      </x:c>
      <x:c r="K10" s="47" t="str">
        <x:v>Add prototype routes/state switches for retryable failure, partial sync, re-auth, canonical refresh and media unavailable.</x:v>
      </x:c>
      <x:c r="L10" s="47" t="str">
        <x:v>CODEX PASS; QA pending</x:v>
      </x:c>
      <x:c r="M10" s="47" t="str">
        <x:v>QC/QA Lead</x:v>
      </x:c>
      <x:c r="N10" s="47" t="str">
        <x:v>Execution evidence: DEFECT_RETEST_RESULTS.csv. Independent closure pending.</x:v>
      </x:c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7" t="str">
        <x:v>P2-D007</x:v>
      </x:c>
      <x:c r="B11" s="60" t="str">
        <x:v>2026-09-27</x:v>
      </x:c>
      <x:c r="C11" s="47" t="str">
        <x:v>QA-NAV-002; QA-LRN-015</x:v>
      </x:c>
      <x:c r="D11" s="47" t="str">
        <x:v>Onboarding / placement</x:v>
      </x:c>
      <x:c r="E11" s="47" t="str">
        <x:v>P1</x:v>
      </x:c>
      <x:c r="F11" s="47" t="str">
        <x:v>READY FOR RETEST</x:v>
      </x:c>
      <x:c r="G11" s="47" t="str">
        <x:v>Onboarding and optional placement are not executable in prototype</x:v>
      </x:c>
      <x:c r="H11" s="47" t="str">
        <x:v>Welcome → optional Goal → optional Placement → provisional result → Home must be testable without main-shell nav leakage.</x:v>
      </x:c>
      <x:c r="I11" s="47" t="str">
        <x:v>Specs define the journey, but clickable prototype starts at Home and has no onboarding/placement route.</x:v>
      </x:c>
      <x:c r="J11" s="47" t="str">
        <x:v>UX/Prototype</x:v>
      </x:c>
      <x:c r="K11" s="47" t="str">
        <x:v>Prototype first-use path including skip-placement and provisional/missing-evidence result.</x:v>
      </x:c>
      <x:c r="L11" s="47" t="str">
        <x:v>CODEX PASS; QA pending</x:v>
      </x:c>
      <x:c r="M11" s="47" t="str">
        <x:v>QC/QA Lead</x:v>
      </x:c>
      <x:c r="N11" s="47" t="str">
        <x:v>Execution evidence: DEFECT_RETEST_RESULTS.csv. Independent closure pending.</x:v>
      </x:c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7" t="str">
        <x:v>P2-D008</x:v>
      </x:c>
      <x:c r="B12" s="60" t="str">
        <x:v>2026-09-27</x:v>
      </x:c>
      <x:c r="C12" s="47" t="str">
        <x:v>QA-LRN-014</x:v>
      </x:c>
      <x:c r="D12" s="47" t="str">
        <x:v>Listening surfaces / C-012</x:v>
      </x:c>
      <x:c r="E12" s="47" t="str">
        <x:v>P1</x:v>
      </x:c>
      <x:c r="F12" s="47" t="str">
        <x:v>READY FOR RETEST</x:v>
      </x:c>
      <x:c r="G12" s="47" t="str">
        <x:v>Listening assessment UX is not concretely represented</x:v>
      </x:c>
      <x:c r="H12" s="47" t="str">
        <x:v>Listening Practice/Check should show offered-play policy, replay state, offline media behavior and non-authoritative client telemetry semantics.</x:v>
      </x:c>
      <x:c r="I12" s="47" t="str">
        <x:v>AudioControl/listening rules exist in text, but the core clickable prototype has no listening item/control/state.</x:v>
      </x:c>
      <x:c r="J12" s="47" t="str">
        <x:v>UX/Content</x:v>
      </x:c>
      <x:c r="K12" s="47" t="str">
        <x:v>Add at least one listening Practice + Check example and media-unavailable state.</x:v>
      </x:c>
      <x:c r="L12" s="47" t="str">
        <x:v>CODEX PASS; QA pending</x:v>
      </x:c>
      <x:c r="M12" s="47" t="str">
        <x:v>QC/QA Lead</x:v>
      </x:c>
      <x:c r="N12" s="47" t="str">
        <x:v>Execution evidence: DEFECT_RETEST_RESULTS.csv. Independent closure pending.</x:v>
      </x:c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7" t="str">
        <x:v>P2-D009</x:v>
      </x:c>
      <x:c r="B13" s="60" t="str">
        <x:v>2026-09-27</x:v>
      </x:c>
      <x:c r="C13" s="47" t="str">
        <x:v>QA-STF-004; QA-STF-007</x:v>
      </x:c>
      <x:c r="D13" s="47" t="str">
        <x:v>S-030..S-034 Content lifecycle</x:v>
      </x:c>
      <x:c r="E13" s="47" t="str">
        <x:v>P1</x:v>
      </x:c>
      <x:c r="F13" s="47" t="str">
        <x:v>READY FOR RETEST</x:v>
      </x:c>
      <x:c r="G13" s="47" t="str">
        <x:v>Staff review/publish lifecycle is not end-to-end testable</x:v>
      </x:c>
      <x:c r="H13" s="47" t="str">
        <x:v>Draft → review → fix provenance → approve → publish confirmation → immutable published revision should be executable.</x:v>
      </x:c>
      <x:c r="I13" s="47" t="str">
        <x:v>Preview has no handler; review approval is blocked without an interactive resolution path; publish confirmation is absent.</x:v>
      </x:c>
      <x:c r="J13" s="47" t="str">
        <x:v>UX/Prototype</x:v>
      </x:c>
      <x:c r="K13" s="47" t="str">
        <x:v>Implement the full prototype lifecycle and immutable revision confirmation path.</x:v>
      </x:c>
      <x:c r="L13" s="47" t="str">
        <x:v>CODEX PASS; QA pending</x:v>
      </x:c>
      <x:c r="M13" s="47" t="str">
        <x:v>QC/QA Lead</x:v>
      </x:c>
      <x:c r="N13" s="47" t="str">
        <x:v>Execution evidence: DEFECT_RETEST_RESULTS.csv. Independent closure pending.</x:v>
      </x:c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7" t="str">
        <x:v>P2-D010</x:v>
      </x:c>
      <x:c r="B14" s="60" t="str">
        <x:v>2026-09-27</x:v>
      </x:c>
      <x:c r="C14" s="47" t="str">
        <x:v>QA-ACC-007</x:v>
      </x:c>
      <x:c r="D14" s="47" t="str">
        <x:v>Staff Content editor form</x:v>
      </x:c>
      <x:c r="E14" s="47" t="str">
        <x:v>P1</x:v>
      </x:c>
      <x:c r="F14" s="47" t="str">
        <x:v>READY FOR RETEST</x:v>
      </x:c>
      <x:c r="G14" s="47" t="str">
        <x:v>Staff editor inputs lack programmatic label association</x:v>
      </x:c>
      <x:c r="H14" s="47" t="str">
        <x:v>Critical form controls must expose meaningful accessible names.</x:v>
      </x:c>
      <x:c r="I14" s="47" t="str">
        <x:v>Visible labels are separate &lt;label&gt; elements without for/id binding; inputs have no aria-label/aria-labelledby.</x:v>
      </x:c>
      <x:c r="J14" s="47" t="str">
        <x:v>UX/Accessibility</x:v>
      </x:c>
      <x:c r="K14" s="47" t="str">
        <x:v>Bind label for/id (or equivalent accessible-name mechanism); test with accessibility tree/screen reader.</x:v>
      </x:c>
      <x:c r="L14" s="47" t="str">
        <x:v>CODEX PASS; QA pending</x:v>
      </x:c>
      <x:c r="M14" s="47" t="str">
        <x:v>QC/QA Lead</x:v>
      </x:c>
      <x:c r="N14" s="47" t="str">
        <x:v>Execution evidence: DEFECT_RETEST_RESULTS.csv. Independent closure pending.</x:v>
      </x:c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7" t="str">
        <x:v>P2-D011</x:v>
      </x:c>
      <x:c r="B15" s="60" t="str">
        <x:v>2026-09-27</x:v>
      </x:c>
      <x:c r="C15" s="47" t="str">
        <x:v>QA-HO-001</x:v>
      </x:c>
      <x:c r="D15" s="47" t="str">
        <x:v>Screen specifications / developer handoff</x:v>
      </x:c>
      <x:c r="E15" s="47" t="str">
        <x:v>P1</x:v>
      </x:c>
      <x:c r="F15" s="47" t="str">
        <x:v>READY FOR RETEST</x:v>
      </x:c>
      <x:c r="G15" s="47" t="str">
        <x:v>Screen specification depth is insufficient for implementation without invention</x:v>
      </x:c>
      <x:c r="H15" s="47" t="str">
        <x:v>Complex screens should define component composition, field/action contracts, validation, state transitions, permissions/dependencies and test hooks.</x:v>
      </x:c>
      <x:c r="I15" s="47" t="str">
        <x:v>Inventory/spec rows define purpose/actions/states/rules, but complex authoring/assessment screens leave implementation-level interaction semantics underspecified.</x:v>
      </x:c>
      <x:c r="J15" s="47" t="str">
        <x:v>Product/UX</x:v>
      </x:c>
      <x:c r="K15" s="47" t="str">
        <x:v>Add per-screen anatomy + interaction/state tables for complex learner assessment and staff content screens.</x:v>
      </x:c>
      <x:c r="L15" s="47" t="str">
        <x:v>CODEX PASS; QA pending</x:v>
      </x:c>
      <x:c r="M15" s="47" t="str">
        <x:v>QC/QA Lead</x:v>
      </x:c>
      <x:c r="N15" s="47" t="str">
        <x:v>Execution evidence: DEFECT_RETEST_RESULTS.csv. Independent closure pending.</x:v>
      </x:c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7" t="str">
        <x:v>P2-D012</x:v>
      </x:c>
      <x:c r="B16" s="60" t="str">
        <x:v>2026-09-27</x:v>
      </x:c>
      <x:c r="C16" s="47" t="str">
        <x:v>QA-HO-001</x:v>
      </x:c>
      <x:c r="D16" s="47" t="str">
        <x:v>Traceability model</x:v>
      </x:c>
      <x:c r="E16" s="47" t="str">
        <x:v>P1</x:v>
      </x:c>
      <x:c r="F16" s="47" t="str">
        <x:v>READY FOR RETEST</x:v>
      </x:c>
      <x:c r="G16" s="47" t="str">
        <x:v>QA traceability does not directly map screens/states to test cases</x:v>
      </x:c>
      <x:c r="H16" s="47" t="str">
        <x:v>Every gate-critical screen/state should have explicit test coverage references.</x:v>
      </x:c>
      <x:c r="I16" s="47" t="str">
        <x:v>57 screens exist, but no screen ID appears explicitly in QA_TEST_CASES.csv; PRD traceability references 34/57 screens.</x:v>
      </x:c>
      <x:c r="J16" s="47" t="str">
        <x:v>QA/Product</x:v>
      </x:c>
      <x:c r="K16" s="47" t="str">
        <x:v>Create Screen ID → State → Requirement → QA case matrix; mark supporting-only screens explicitly.</x:v>
      </x:c>
      <x:c r="L16" s="47" t="str">
        <x:v>CODEX PASS; QA pending</x:v>
      </x:c>
      <x:c r="M16" s="47" t="str">
        <x:v>QC/QA Lead</x:v>
      </x:c>
      <x:c r="N16" s="47" t="str">
        <x:v>Execution evidence: DEFECT_RETEST_RESULTS.csv. Independent closure pending.</x:v>
      </x:c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7" t="str">
        <x:v>P2-D013</x:v>
      </x:c>
      <x:c r="B17" s="60" t="str">
        <x:v>2026-09-27</x:v>
      </x:c>
      <x:c r="C17" s="47" t="str">
        <x:v>QA-LRN-018</x:v>
      </x:c>
      <x:c r="D17" s="47" t="str">
        <x:v>L-014 Course locked preview</x:v>
      </x:c>
      <x:c r="E17" s="47" t="str">
        <x:v>P1</x:v>
      </x:c>
      <x:c r="F17" s="47" t="str">
        <x:v>READY FOR RETEST</x:v>
      </x:c>
      <x:c r="G17" s="47" t="str">
        <x:v>Locked-objective Preview control is non-functional</x:v>
      </x:c>
      <x:c r="H17" s="47" t="str">
        <x:v>Preview action should open a non-progressing preview and preserve prerequisite lock semantics.</x:v>
      </x:c>
      <x:c r="I17" s="47" t="str">
        <x:v>Preview button is rendered without onclick/action.</x:v>
      </x:c>
      <x:c r="J17" s="47" t="str">
        <x:v>UX/Prototype</x:v>
      </x:c>
      <x:c r="K17" s="47" t="str">
        <x:v>Implement preview route/modal and prove no progress/unlock side effect.</x:v>
      </x:c>
      <x:c r="L17" s="47" t="str">
        <x:v>CODEX PASS; QA pending</x:v>
      </x:c>
      <x:c r="M17" s="47" t="str">
        <x:v>QC/QA Lead</x:v>
      </x:c>
      <x:c r="N17" s="47" t="str">
        <x:v>Execution evidence: DEFECT_RETEST_RESULTS.csv. Independent closure pending.</x:v>
      </x:c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7" t="str">
        <x:v>P2-D014</x:v>
      </x:c>
      <x:c r="B18" s="60" t="str">
        <x:v>2026-09-27</x:v>
      </x:c>
      <x:c r="C18" s="47" t="str">
        <x:v>QA-ACC-001; QA-ACC-002</x:v>
      </x:c>
      <x:c r="D18" s="47" t="str">
        <x:v>Prototype accessibility semantics</x:v>
      </x:c>
      <x:c r="E18" s="47" t="str">
        <x:v>P2</x:v>
      </x:c>
      <x:c r="F18" s="47" t="str">
        <x:v>READY FOR RETEST</x:v>
      </x:c>
      <x:c r="G18" s="47" t="str">
        <x:v>Accessibility focus/live-region strategy needs refinement</x:v>
      </x:c>
      <x:c r="H18" s="47" t="str">
        <x:v>Route changes, dynamic feedback and dialogs should announce only relevant changes and preserve predictable focus.</x:v>
      </x:c>
      <x:c r="I18" s="47" t="str">
        <x:v>Whole SPA &lt;main&gt; is aria-live='polite'; no explicit route-change focus, modal focus trap/restore or targeted live-region strategy is documented.</x:v>
      </x:c>
      <x:c r="J18" s="47" t="str">
        <x:v>UX/Accessibility</x:v>
      </x:c>
      <x:c r="K18" s="47" t="str">
        <x:v>Use targeted status/error live regions and specify focus transfer/restore patterns for route changes, sheets and dialogs.</x:v>
      </x:c>
      <x:c r="L18" s="47" t="str">
        <x:v>CODEX PASS; QA pending</x:v>
      </x:c>
      <x:c r="M18" s="47" t="str">
        <x:v>QC/QA Lead</x:v>
      </x:c>
      <x:c r="N18" s="47" t="str">
        <x:v>Execution evidence: DEFECT_RETEST_RESULTS.csv. Independent closure pending.</x:v>
      </x:c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7" t="str">
        <x:v>P2-D015</x:v>
      </x:c>
      <x:c r="B19" s="60" t="str">
        <x:v>2026-09-27</x:v>
      </x:c>
      <x:c r="C19" s="47" t="str">
        <x:v>QA-ACC-004</x:v>
      </x:c>
      <x:c r="D19" s="47" t="str">
        <x:v>Design token / CSS focus</x:v>
      </x:c>
      <x:c r="E19" s="47" t="str">
        <x:v>P2</x:v>
      </x:c>
      <x:c r="F19" s="47" t="str">
        <x:v>READY FOR RETEST</x:v>
      </x:c>
      <x:c r="G19" s="47" t="str">
        <x:v>Prototype focus indicator bypasses semantic focus token</x:v>
      </x:c>
      <x:c r="H19" s="47" t="str">
        <x:v>Prototype should consume the semantic focus token consistently.</x:v>
      </x:c>
      <x:c r="I19" s="47" t="str">
        <x:v>CSS defines --focus:#7C3AED but :focus-visible hardcodes #C4B5FD.</x:v>
      </x:c>
      <x:c r="J19" s="47" t="str">
        <x:v>UX/Design System</x:v>
      </x:c>
      <x:c r="K19" s="47" t="str">
        <x:v>Use var(--focus) or document a dedicated validated focus-ring token.</x:v>
      </x:c>
      <x:c r="L19" s="47" t="str">
        <x:v>CODEX PASS; QA pending</x:v>
      </x:c>
      <x:c r="M19" s="47" t="str">
        <x:v>QC/QA Lead</x:v>
      </x:c>
      <x:c r="N19" s="47" t="str">
        <x:v>Execution evidence: DEFECT_RETEST_RESULTS.csv. Independent closure pending.</x:v>
      </x:c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7" t="str">
        <x:v>P2-D016</x:v>
      </x:c>
      <x:c r="B20" s="60" t="str">
        <x:v>2026-09-27</x:v>
      </x:c>
      <x:c r="C20" s="47" t="str">
        <x:v>QA-HO-001</x:v>
      </x:c>
      <x:c r="D20" s="47" t="str">
        <x:v>Learning content examples</x:v>
      </x:c>
      <x:c r="E20" s="47" t="str">
        <x:v>P1</x:v>
      </x:c>
      <x:c r="F20" s="47" t="str">
        <x:v>READY FOR RETEST</x:v>
      </x:c>
      <x:c r="G20" s="47" t="str">
        <x:v>Grammar learning UX is not concretely demonstrated</x:v>
      </x:c>
      <x:c r="H20" s="47" t="str">
        <x:v>Phase 2 should demonstrate the chosen interaction/state pattern for Vocabulary, Grammar and Listening MVP domains.</x:v>
      </x:c>
      <x:c r="I20" s="47" t="str">
        <x:v>Core prototype demonstrates simple greeting multiple-choice interactions but no grammar scaffold/practice/transfer/check example.</x:v>
      </x:c>
      <x:c r="J20" s="47" t="str">
        <x:v>UX/Content</x:v>
      </x:c>
      <x:c r="K20" s="47" t="str">
        <x:v>Add representative grammar flow with validation, feedback, assisted practice and independent Check.</x:v>
      </x:c>
      <x:c r="L20" s="47" t="str">
        <x:v>CODEX PASS; QA pending</x:v>
      </x:c>
      <x:c r="M20" s="47" t="str">
        <x:v>QC/QA Lead</x:v>
      </x:c>
      <x:c r="N20" s="47" t="str">
        <x:v>Execution evidence: DEFECT_RETEST_RESULTS.csv. Independent closure pending.</x:v>
      </x:c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7" t="str">
        <x:v>P2-D017</x:v>
      </x:c>
      <x:c r="B21" s="60" t="str">
        <x:v>2026-09-27</x:v>
      </x:c>
      <x:c r="C21" s="47" t="str">
        <x:v>QA-LRN-017</x:v>
      </x:c>
      <x:c r="D21" s="47" t="str">
        <x:v>Phase 2 prototype</x:v>
      </x:c>
      <x:c r="E21" s="47" t="str">
        <x:v>P1</x:v>
      </x:c>
      <x:c r="F21" s="47" t="str">
        <x:v>READY FOR RETEST</x:v>
      </x:c>
      <x:c r="G21" s="47" t="str">
        <x:v>Goal editing unavailable</x:v>
      </x:c>
      <x:c r="H21" s="47" t="str">
        <x:v>Preserve canonical case expectation</x:v>
      </x:c>
      <x:c r="I21" s="47" t="str">
        <x:v>Profile had no editable goal action.</x:v>
      </x:c>
      <x:c r="J21" s="47" t="str">
        <x:v>Codex</x:v>
      </x:c>
      <x:c r="K21" s="47" t="str">
        <x:v>Edit goal, persist selection, clear goal and return to Profile.</x:v>
      </x:c>
      <x:c r="L21" s="47" t="str">
        <x:v>CODEX PASS; QA pending</x:v>
      </x:c>
      <x:c r="M21" s="47" t="str">
        <x:v>Independent QC/QA pending</x:v>
      </x:c>
      <x:c r="N21" s="47" t="str">
        <x:v>See DEFECT_RETEST_RESULTS.csv and evidence/codex/.</x:v>
      </x:c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7" t="str">
        <x:v>P2-D018</x:v>
      </x:c>
      <x:c r="B22" s="60" t="str">
        <x:v>2026-09-27</x:v>
      </x:c>
      <x:c r="C22" s="47" t="str">
        <x:v>QA-LRN-019; QA-LRN-020</x:v>
      </x:c>
      <x:c r="D22" s="47" t="str">
        <x:v>Phase 2 prototype</x:v>
      </x:c>
      <x:c r="E22" s="47" t="str">
        <x:v>P0</x:v>
      </x:c>
      <x:c r="F22" s="47" t="str">
        <x:v>READY FOR RETEST</x:v>
      </x:c>
      <x:c r="G22" s="47" t="str">
        <x:v>Fallback/empty states not executable</x:v>
      </x:c>
      <x:c r="H22" s="47" t="str">
        <x:v>Preserve canonical case expectation</x:v>
      </x:c>
      <x:c r="I22" s="47" t="str">
        <x:v>No demo route/control could reach recommendation-unavailable or nothing-eligible state.</x:v>
      </x:c>
      <x:c r="J22" s="47" t="str">
        <x:v>Codex</x:v>
      </x:c>
      <x:c r="K22" s="47" t="str">
        <x:v>Executable demo controls; eligible cycle fallback and honest empty copy.</x:v>
      </x:c>
      <x:c r="L22" s="47" t="str">
        <x:v>CODEX PASS; QA pending</x:v>
      </x:c>
      <x:c r="M22" s="47" t="str">
        <x:v>Independent QC/QA pending</x:v>
      </x:c>
      <x:c r="N22" s="47" t="str">
        <x:v>See DEFECT_RETEST_RESULTS.csv and evidence/codex/.</x:v>
      </x:c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7" t="str">
        <x:v>P2-D019</x:v>
      </x:c>
      <x:c r="B23" s="60" t="str">
        <x:v>2026-09-27</x:v>
      </x:c>
      <x:c r="C23" s="47" t="str">
        <x:v>QA-OFF-005; QA-LRN-023</x:v>
      </x:c>
      <x:c r="D23" s="47" t="str">
        <x:v>Phase 2 prototype</x:v>
      </x:c>
      <x:c r="E23" s="47" t="str">
        <x:v>P1</x:v>
      </x:c>
      <x:c r="F23" s="47" t="str">
        <x:v>READY FOR RETEST</x:v>
      </x:c>
      <x:c r="G23" s="47" t="str">
        <x:v>Missing-media practice Skip has no continuation</x:v>
      </x:c>
      <x:c r="H23" s="47" t="str">
        <x:v>Preserve canonical case expectation</x:v>
      </x:c>
      <x:c r="I23" s="47" t="str">
        <x:v>Skip records local state but media-blocked renderer hides result/Continue.</x:v>
      </x:c>
      <x:c r="J23" s="47" t="str">
        <x:v>Codex</x:v>
      </x:c>
      <x:c r="K23" s="47" t="str">
        <x:v>Render recorded skip and explicit Continue; Check still cannot skip.</x:v>
      </x:c>
      <x:c r="L23" s="47" t="str">
        <x:v>CODEX PASS; QA pending</x:v>
      </x:c>
      <x:c r="M23" s="47" t="str">
        <x:v>Independent QC/QA pending</x:v>
      </x:c>
      <x:c r="N23" s="47" t="str">
        <x:v>See DEFECT_RETEST_RESULTS.csv and evidence/codex/.</x:v>
      </x:c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7" t="str">
        <x:v>P2-D020</x:v>
      </x:c>
      <x:c r="B24" s="60" t="str">
        <x:v>2026-09-27</x:v>
      </x:c>
      <x:c r="C24" s="47" t="str">
        <x:v>QA-ACC-005; QA-ACC-009</x:v>
      </x:c>
      <x:c r="D24" s="47" t="str">
        <x:v>Phase 2 prototype</x:v>
      </x:c>
      <x:c r="E24" s="47" t="str">
        <x:v>P1</x:v>
      </x:c>
      <x:c r="F24" s="47" t="str">
        <x:v>READY FOR RETEST</x:v>
      </x:c>
      <x:c r="G24" s="47" t="str">
        <x:v>200% text clips learner actions</x:v>
      </x:c>
      <x:c r="H24" s="47" t="str">
        <x:v>Preserve canonical case expectation</x:v>
      </x:c>
      <x:c r="I24" s="47" t="str">
        <x:v>Learn Start and 320px bottom navigation clipped inside phone despite no document overflow.</x:v>
      </x:c>
      <x:c r="J24" s="47" t="str">
        <x:v>Codex</x:v>
      </x:c>
      <x:c r="K24" s="47" t="str">
        <x:v>Single-column narrow domain cards, bounded grids, wrapping and non-sticky demo bar; check ancestor clipping.</x:v>
      </x:c>
      <x:c r="L24" s="47" t="str">
        <x:v>CODEX PASS; QA pending</x:v>
      </x:c>
      <x:c r="M24" s="47" t="str">
        <x:v>Independent QC/QA pending</x:v>
      </x:c>
      <x:c r="N24" s="47" t="str">
        <x:v>See DEFECT_RETEST_RESULTS.csv and evidence/codex/.</x:v>
      </x:c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61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61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61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61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61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61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61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61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61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61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61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61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61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61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61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61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61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61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61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61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61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61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61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61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61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61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61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61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61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61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61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61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61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61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61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61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61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61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61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61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61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61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61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61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61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61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61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61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61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61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61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61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61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61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61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61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61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61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61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61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61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61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61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61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61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61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61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61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61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61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61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61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61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61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61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61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61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61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61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61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61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61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61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61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61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61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61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61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61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61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61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61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61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61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61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61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61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61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61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61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61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61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61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61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61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61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61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61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61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61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61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61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61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61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61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61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61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61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61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61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61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61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61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61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61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61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61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61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61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61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61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61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61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61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61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61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61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61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61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61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61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61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61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61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61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61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61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61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61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61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61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61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61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61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61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61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61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61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61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61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61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61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61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61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61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61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61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61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61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61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61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61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61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61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61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61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N1"/>
    <x:mergeCell ref="A2:N2"/>
  </x:mergeCells>
  <x:conditionalFormatting sqref="F5:F20">
    <x:cfRule type="expression" dxfId="73" priority="1">
      <x:formula>$F5="READY FOR RETEST"</x:formula>
    </x:cfRule>
  </x:conditionalFormatting>
  <x:dataValidations count="2">
    <x:dataValidation type="list" sqref="E5:E200">
      <x:formula1>"P0,P1,P2,P3"</x:formula1>
    </x:dataValidation>
    <x:dataValidation type="list" sqref="F5:F200">
      <x:formula1>"OPEN,IN PROGRESS,READY FOR RETEST,CLOSED,WONT FIX ACCEPTED,DUPLICATE"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3" hidden="0" customWidth="1"/>
    <x:col min="4" max="4" width="36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4" hidden="0" customWidth="1"/>
    <x:col min="11" max="11" width="38" hidden="0" customWidth="1"/>
    <x:col min="12" max="12" width="24" hidden="0" customWidth="1"/>
  </x:cols>
  <x:sheetData>
    <x:row r="1" ht="28" customHeight="1">
      <x:c r="A1" s="4" t="str">
        <x:v>TEST RUN SUMMARY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One row per candidate/run; preserve environment and evidence.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Run ID</x:v>
      </x:c>
      <x:c r="B4" s="46" t="str">
        <x:v>Candidate/Commit</x:v>
      </x:c>
      <x:c r="C4" s="46" t="str">
        <x:v>Date</x:v>
      </x:c>
      <x:c r="D4" s="46" t="str">
        <x:v>Environment</x:v>
      </x:c>
      <x:c r="E4" s="46" t="str">
        <x:v>Tester</x:v>
      </x:c>
      <x:c r="F4" s="46" t="str">
        <x:v>Planned</x:v>
      </x:c>
      <x:c r="G4" s="46" t="str">
        <x:v>Passed</x:v>
      </x:c>
      <x:c r="H4" s="46" t="str">
        <x:v>Failed</x:v>
      </x:c>
      <x:c r="I4" s="46" t="str">
        <x:v>Blocked</x:v>
      </x:c>
      <x:c r="J4" s="46" t="str">
        <x:v>Pass rate</x:v>
      </x:c>
      <x:c r="K4" s="46" t="str">
        <x:v>Evidence</x:v>
      </x:c>
      <x:c r="L4" s="46" t="str">
        <x:v>Decision</x:v>
      </x:c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CX-R1-20260927</x:v>
      </x:c>
      <x:c r="B5" s="47" t="str">
        <x:v>codex-r1</x:v>
      </x:c>
      <x:c r="C5" s="60" t="str">
        <x:v>2026-09-27</x:v>
      </x:c>
      <x:c r="D5" s="47" t="str">
        <x:v>Windows / Chrome 153.0.8010.53 / fresh contexts</x:v>
      </x:c>
      <x:c r="E5" s="47" t="str">
        <x:v>Codex</x:v>
      </x:c>
      <x:c r="F5" s="47" t="n">
        <x:v>94</x:v>
      </x:c>
      <x:c r="G5" s="47" t="n">
        <x:v>94</x:v>
      </x:c>
      <x:c r="H5" s="47" t="n">
        <x:v>0</x:v>
      </x:c>
      <x:c r="I5" s="47" t="n">
        <x:v>0</x:v>
      </x:c>
      <x:c r="J5" s="64" t="n">
        <x:f>IF(F5=0,"",G5/F5)</x:f>
        <x:v>1</x:v>
      </x:c>
      <x:c r="K5" s="47" t="str">
        <x:v>evidence/codex/execution_summary.json</x:v>
      </x:c>
      <x:c r="L5" s="47" t="str">
        <x:v>RETEST CANDIDATE; NOT GATE PASS</x:v>
      </x:c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/>
      <x:c r="B6" s="47"/>
      <x:c r="C6" s="60"/>
      <x:c r="D6" s="47"/>
      <x:c r="E6" s="47"/>
      <x:c r="F6" s="47"/>
      <x:c r="G6" s="47"/>
      <x:c r="H6" s="47"/>
      <x:c r="I6" s="47"/>
      <x:c r="J6" s="64" t="str">
        <x:f>IF(F6=0,"",G6/F6)</x:f>
      </x:c>
      <x:c r="K6" s="47"/>
      <x:c r="L6" s="47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/>
      <x:c r="B7" s="47"/>
      <x:c r="C7" s="60"/>
      <x:c r="D7" s="47"/>
      <x:c r="E7" s="47"/>
      <x:c r="F7" s="47"/>
      <x:c r="G7" s="47"/>
      <x:c r="H7" s="47"/>
      <x:c r="I7" s="47"/>
      <x:c r="J7" s="64" t="str">
        <x:f>IF(F7=0,"",G7/F7)</x:f>
      </x:c>
      <x:c r="K7" s="47"/>
      <x:c r="L7" s="47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/>
      <x:c r="B8" s="47"/>
      <x:c r="C8" s="60"/>
      <x:c r="D8" s="47"/>
      <x:c r="E8" s="47"/>
      <x:c r="F8" s="47"/>
      <x:c r="G8" s="47"/>
      <x:c r="H8" s="47"/>
      <x:c r="I8" s="47"/>
      <x:c r="J8" s="64" t="str">
        <x:f>IF(F8=0,"",G8/F8)</x:f>
      </x:c>
      <x:c r="K8" s="47"/>
      <x:c r="L8" s="47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7"/>
      <x:c r="B9" s="47"/>
      <x:c r="C9" s="60"/>
      <x:c r="D9" s="47"/>
      <x:c r="E9" s="47"/>
      <x:c r="F9" s="47"/>
      <x:c r="G9" s="47"/>
      <x:c r="H9" s="47"/>
      <x:c r="I9" s="47"/>
      <x:c r="J9" s="64" t="str">
        <x:f>IF(F9=0,"",G9/F9)</x:f>
      </x:c>
      <x:c r="K9" s="47"/>
      <x:c r="L9" s="47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7"/>
      <x:c r="B10" s="47"/>
      <x:c r="C10" s="60"/>
      <x:c r="D10" s="47"/>
      <x:c r="E10" s="47"/>
      <x:c r="F10" s="47"/>
      <x:c r="G10" s="47"/>
      <x:c r="H10" s="47"/>
      <x:c r="I10" s="47"/>
      <x:c r="J10" s="64" t="str">
        <x:f>IF(F10=0,"",G10/F10)</x:f>
      </x:c>
      <x:c r="K10" s="47"/>
      <x:c r="L10" s="47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7"/>
      <x:c r="B11" s="47"/>
      <x:c r="C11" s="60"/>
      <x:c r="D11" s="47"/>
      <x:c r="E11" s="47"/>
      <x:c r="F11" s="47"/>
      <x:c r="G11" s="47"/>
      <x:c r="H11" s="47"/>
      <x:c r="I11" s="47"/>
      <x:c r="J11" s="64" t="str">
        <x:f>IF(F11=0,"",G11/F11)</x:f>
      </x:c>
      <x:c r="K11" s="47"/>
      <x:c r="L11" s="47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7"/>
      <x:c r="B12" s="47"/>
      <x:c r="C12" s="60"/>
      <x:c r="D12" s="47"/>
      <x:c r="E12" s="47"/>
      <x:c r="F12" s="47"/>
      <x:c r="G12" s="47"/>
      <x:c r="H12" s="47"/>
      <x:c r="I12" s="47"/>
      <x:c r="J12" s="64" t="str">
        <x:f>IF(F12=0,"",G12/F12)</x:f>
      </x:c>
      <x:c r="K12" s="47"/>
      <x:c r="L12" s="47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7"/>
      <x:c r="B13" s="47"/>
      <x:c r="C13" s="60"/>
      <x:c r="D13" s="47"/>
      <x:c r="E13" s="47"/>
      <x:c r="F13" s="47"/>
      <x:c r="G13" s="47"/>
      <x:c r="H13" s="47"/>
      <x:c r="I13" s="47"/>
      <x:c r="J13" s="64" t="str">
        <x:f>IF(F13=0,"",G13/F13)</x:f>
      </x:c>
      <x:c r="K13" s="47"/>
      <x:c r="L13" s="47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7"/>
      <x:c r="B14" s="47"/>
      <x:c r="C14" s="60"/>
      <x:c r="D14" s="47"/>
      <x:c r="E14" s="47"/>
      <x:c r="F14" s="47"/>
      <x:c r="G14" s="47"/>
      <x:c r="H14" s="47"/>
      <x:c r="I14" s="47"/>
      <x:c r="J14" s="64" t="str">
        <x:f>IF(F14=0,"",G14/F14)</x:f>
      </x:c>
      <x:c r="K14" s="47"/>
      <x:c r="L14" s="47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5"/>
      <x:c r="B15" s="45"/>
      <x:c r="C15" s="61"/>
      <x:c r="D15" s="45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5"/>
      <x:c r="B16" s="45"/>
      <x:c r="C16" s="61"/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5"/>
      <x:c r="B17" s="45"/>
      <x:c r="C17" s="61"/>
      <x:c r="D17" s="45"/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5"/>
      <x:c r="B18" s="45"/>
      <x:c r="C18" s="61"/>
      <x:c r="D18" s="45"/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5"/>
      <x:c r="B19" s="45"/>
      <x:c r="C19" s="61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5"/>
      <x:c r="B20" s="45"/>
      <x:c r="C20" s="61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5"/>
      <x:c r="B21" s="45"/>
      <x:c r="C21" s="61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5"/>
      <x:c r="B22" s="45"/>
      <x:c r="C22" s="61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61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61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61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61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61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61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61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61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61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61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61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61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61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61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61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61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61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61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61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61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61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61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61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61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61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61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61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61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L1"/>
    <x:mergeCell ref="A2:L2"/>
  </x:mergeCells>
  <x:conditionalFormatting sqref="L5:L50">
    <x:cfRule type="expression" dxfId="36" priority="1">
      <x:formula>$L5="PASS"</x:formula>
    </x:cfRule>
    <x:cfRule type="expression" dxfId="37" priority="2">
      <x:formula>$L5="DONE"</x:formula>
    </x:cfRule>
    <x:cfRule type="expression" dxfId="38" priority="3">
      <x:formula>$L5="SIGNED"</x:formula>
    </x:cfRule>
    <x:cfRule type="expression" dxfId="39" priority="4">
      <x:formula>$L5="ACCEPTED"</x:formula>
    </x:cfRule>
    <x:cfRule type="expression" dxfId="40" priority="5">
      <x:formula>$L5="FAIL"</x:formula>
    </x:cfRule>
    <x:cfRule type="expression" dxfId="41" priority="6">
      <x:formula>$L5="BLOCKED"</x:formula>
    </x:cfRule>
    <x:cfRule type="expression" dxfId="42" priority="7">
      <x:formula>$L5="NOT PASSED"</x:formula>
    </x:cfRule>
    <x:cfRule type="expression" dxfId="43" priority="8">
      <x:formula>$L5="NOT RUN"</x:formula>
    </x:cfRule>
    <x:cfRule type="expression" dxfId="44" priority="9">
      <x:formula>$L5="PENDING"</x:formula>
    </x:cfRule>
    <x:cfRule type="expression" dxfId="45" priority="10">
      <x:formula>$L5="IN PROGRESS"</x:formula>
    </x:cfRule>
    <x:cfRule type="expression" dxfId="46" priority="11">
      <x:formula>$L5="READY"</x:formula>
    </x:cfRule>
    <x:cfRule type="expression" dxfId="47" priority="12">
      <x:formula>$L5="DEFERRED"</x:formula>
    </x:cfRule>
  </x:conditionalFormatting>
  <x:dataValidations count="1">
    <x:dataValidation type="list" sqref="L5:L50">
      <x:formula1>"IN PROGRESS,REJECTED,READY FOR SIGNOFF,ACCEPTED"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6" hidden="0" customWidth="1"/>
    <x:col min="5" max="5" width="34" hidden="0" customWidth="1"/>
    <x:col min="6" max="6" width="42" hidden="0" customWidth="1"/>
  </x:cols>
  <x:sheetData>
    <x:row r="1" ht="28" customHeight="1">
      <x:c r="A1" s="4" t="str">
        <x:v>PHASE 2 SIGNOFF</x:v>
      </x:c>
      <x:c r="B1" s="4"/>
      <x:c r="C1" s="4"/>
      <x:c r="D1" s="4"/>
      <x:c r="E1" s="4"/>
      <x:c r="F1" s="4"/>
      <x:c r="G1" s="4"/>
      <x:c r="H1" s="4"/>
      <x:c r="I1" s="58"/>
      <x:c r="J1" s="58"/>
      <x:c r="K1" s="58"/>
      <x:c r="L1" s="58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Only complete after exit criteria. Signed Phase 2 makes Phase 3 eligible.</x:v>
      </x:c>
      <x:c r="B2" s="11"/>
      <x:c r="C2" s="11"/>
      <x:c r="D2" s="11"/>
      <x:c r="E2" s="11"/>
      <x:c r="F2" s="11"/>
      <x:c r="G2" s="11"/>
      <x:c r="H2" s="11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Role</x:v>
      </x:c>
      <x:c r="B4" s="46" t="str">
        <x:v>Name</x:v>
      </x:c>
      <x:c r="C4" s="46" t="str">
        <x:v>Decision</x:v>
      </x:c>
      <x:c r="D4" s="46" t="str">
        <x:v>Date</x:v>
      </x:c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QC Lead</x:v>
      </x:c>
      <x:c r="B5" s="47"/>
      <x:c r="C5" s="47" t="str">
        <x:v>PENDING</x:v>
      </x:c>
      <x:c r="D5" s="60"/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 t="str">
        <x:v>QA Lead</x:v>
      </x:c>
      <x:c r="B6" s="47"/>
      <x:c r="C6" s="47" t="str">
        <x:v>PENDING</x:v>
      </x:c>
      <x:c r="D6" s="60"/>
      <x:c r="E6" s="45"/>
      <x:c r="F6" s="45"/>
      <x:c r="G6" s="45"/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 t="str">
        <x:v>Tech Lead</x:v>
      </x:c>
      <x:c r="B7" s="47"/>
      <x:c r="C7" s="47" t="str">
        <x:v>PENDING</x:v>
      </x:c>
      <x:c r="D7" s="60"/>
      <x:c r="E7" s="45"/>
      <x:c r="F7" s="45"/>
      <x:c r="G7" s="45"/>
      <x:c r="H7" s="45"/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 t="str">
        <x:v>Product/Owner</x:v>
      </x:c>
      <x:c r="B8" s="47"/>
      <x:c r="C8" s="47" t="str">
        <x:v>PENDING</x:v>
      </x:c>
      <x:c r="D8" s="60"/>
      <x:c r="E8" s="45"/>
      <x:c r="F8" s="45"/>
      <x:c r="G8" s="45"/>
      <x:c r="H8" s="45"/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5"/>
      <x:c r="B9" s="45"/>
      <x:c r="C9" s="45"/>
      <x:c r="D9" s="45"/>
      <x:c r="E9" s="45"/>
      <x:c r="F9" s="45"/>
      <x:c r="G9" s="45"/>
      <x:c r="H9" s="45"/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5"/>
      <x:c r="B10" s="45"/>
      <x:c r="C10" s="45"/>
      <x:c r="D10" s="45"/>
      <x:c r="E10" s="45"/>
      <x:c r="F10" s="45"/>
      <x:c r="G10" s="45"/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6" t="str">
        <x:v>Exit criterion</x:v>
      </x:c>
      <x:c r="B11" s="46" t="str">
        <x:v>Required</x:v>
      </x:c>
      <x:c r="C11" s="46" t="str">
        <x:v>Observed</x:v>
      </x:c>
      <x:c r="D11" s="46" t="str">
        <x:v>Status</x:v>
      </x:c>
      <x:c r="E11" s="46" t="str">
        <x:v>Evidence</x:v>
      </x:c>
      <x:c r="F11" s="46" t="str">
        <x:v>Notes</x:v>
      </x:c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7" t="str">
        <x:v>P0 cases</x:v>
      </x:c>
      <x:c r="B12" s="47" t="str">
        <x:v>100% PASS</x:v>
      </x:c>
      <x:c r="C12" s="47" t="str">
        <x:v>44/44 Codex PASS</x:v>
      </x:c>
      <x:c r="D12" s="47" t="str">
        <x:v>PENDING</x:v>
      </x:c>
      <x:c r="E12" s="47"/>
      <x:c r="F12" s="47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7" t="str">
        <x:v>Open P0/P1 defects</x:v>
      </x:c>
      <x:c r="B13" s="47" t="str">
        <x:v>0</x:v>
      </x:c>
      <x:c r="C13" s="47" t="str">
        <x:v>18 pending independent closure</x:v>
      </x:c>
      <x:c r="D13" s="47" t="str">
        <x:v>PENDING</x:v>
      </x:c>
      <x:c r="E13" s="47"/>
      <x:c r="F13" s="47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7" t="str">
        <x:v>Overall pass rate</x:v>
      </x:c>
      <x:c r="B14" s="47" t="str">
        <x:v>≥95%</x:v>
      </x:c>
      <x:c r="C14" s="47" t="str">
        <x:v>94/94 Codex PASS</x:v>
      </x:c>
      <x:c r="D14" s="47" t="str">
        <x:v>PENDING</x:v>
      </x:c>
      <x:c r="E14" s="47"/>
      <x:c r="F14" s="47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7" t="str">
        <x:v>PRD traceability</x:v>
      </x:c>
      <x:c r="B15" s="47" t="str">
        <x:v>16/16</x:v>
      </x:c>
      <x:c r="C15" s="47" t="str">
        <x:v>16/16 mapped</x:v>
      </x:c>
      <x:c r="D15" s="47" t="str">
        <x:v>READY</x:v>
      </x:c>
      <x:c r="E15" s="47"/>
      <x:c r="F15" s="47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7" t="str">
        <x:v>Accessibility mandatory</x:v>
      </x:c>
      <x:c r="B16" s="47" t="str">
        <x:v>PASS</x:v>
      </x:c>
      <x:c r="C16" s="47" t="str">
        <x:v>AX/keyboard PASS; speech BLOCKED</x:v>
      </x:c>
      <x:c r="D16" s="47" t="str">
        <x:v>BLOCKED</x:v>
      </x:c>
      <x:c r="E16" s="47" t="str">
        <x:v>evidence/codex/supplemental/run.json</x:v>
      </x:c>
      <x:c r="F16" s="47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7" t="str">
        <x:v>Developer handoff</x:v>
      </x:c>
      <x:c r="B17" s="47" t="str">
        <x:v>ACCEPTED</x:v>
      </x:c>
      <x:c r="C17" s="47"/>
      <x:c r="D17" s="47" t="str">
        <x:v>PENDING</x:v>
      </x:c>
      <x:c r="E17" s="47"/>
      <x:c r="F17" s="47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7" t="str">
        <x:v>Product UX/UAT</x:v>
      </x:c>
      <x:c r="B18" s="47" t="str">
        <x:v>ACCEPTED</x:v>
      </x:c>
      <x:c r="C18" s="47"/>
      <x:c r="D18" s="47" t="str">
        <x:v>PENDING</x:v>
      </x:c>
      <x:c r="E18" s="47"/>
      <x:c r="F18" s="47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H1"/>
    <x:mergeCell ref="A2:H2"/>
  </x:mergeCells>
  <x:conditionalFormatting sqref="C5:C8">
    <x:cfRule type="expression" dxfId="48" priority="1">
      <x:formula>$C5="PASS"</x:formula>
    </x:cfRule>
    <x:cfRule type="expression" dxfId="49" priority="2">
      <x:formula>$C5="DONE"</x:formula>
    </x:cfRule>
    <x:cfRule type="expression" dxfId="50" priority="3">
      <x:formula>$C5="SIGNED"</x:formula>
    </x:cfRule>
    <x:cfRule type="expression" dxfId="51" priority="4">
      <x:formula>$C5="ACCEPTED"</x:formula>
    </x:cfRule>
    <x:cfRule type="expression" dxfId="52" priority="5">
      <x:formula>$C5="FAIL"</x:formula>
    </x:cfRule>
    <x:cfRule type="expression" dxfId="53" priority="6">
      <x:formula>$C5="BLOCKED"</x:formula>
    </x:cfRule>
    <x:cfRule type="expression" dxfId="54" priority="7">
      <x:formula>$C5="NOT PASSED"</x:formula>
    </x:cfRule>
    <x:cfRule type="expression" dxfId="55" priority="8">
      <x:formula>$C5="NOT RUN"</x:formula>
    </x:cfRule>
    <x:cfRule type="expression" dxfId="56" priority="9">
      <x:formula>$C5="PENDING"</x:formula>
    </x:cfRule>
    <x:cfRule type="expression" dxfId="57" priority="10">
      <x:formula>$C5="IN PROGRESS"</x:formula>
    </x:cfRule>
    <x:cfRule type="expression" dxfId="58" priority="11">
      <x:formula>$C5="READY"</x:formula>
    </x:cfRule>
    <x:cfRule type="expression" dxfId="59" priority="12">
      <x:formula>$C5="DEFERRED"</x:formula>
    </x:cfRule>
  </x:conditionalFormatting>
  <x:conditionalFormatting sqref="D12:D18">
    <x:cfRule type="expression" dxfId="60" priority="13">
      <x:formula>$D12="PASS"</x:formula>
    </x:cfRule>
    <x:cfRule type="expression" dxfId="61" priority="14">
      <x:formula>$D12="DONE"</x:formula>
    </x:cfRule>
    <x:cfRule type="expression" dxfId="62" priority="15">
      <x:formula>$D12="SIGNED"</x:formula>
    </x:cfRule>
    <x:cfRule type="expression" dxfId="63" priority="16">
      <x:formula>$D12="ACCEPTED"</x:formula>
    </x:cfRule>
    <x:cfRule type="expression" dxfId="64" priority="17">
      <x:formula>$D12="FAIL"</x:formula>
    </x:cfRule>
    <x:cfRule type="expression" dxfId="65" priority="18">
      <x:formula>$D12="BLOCKED"</x:formula>
    </x:cfRule>
    <x:cfRule type="expression" dxfId="66" priority="19">
      <x:formula>$D12="NOT PASSED"</x:formula>
    </x:cfRule>
    <x:cfRule type="expression" dxfId="67" priority="20">
      <x:formula>$D12="NOT RUN"</x:formula>
    </x:cfRule>
    <x:cfRule type="expression" dxfId="68" priority="21">
      <x:formula>$D12="PENDING"</x:formula>
    </x:cfRule>
    <x:cfRule type="expression" dxfId="69" priority="22">
      <x:formula>$D12="IN PROGRESS"</x:formula>
    </x:cfRule>
    <x:cfRule type="expression" dxfId="70" priority="23">
      <x:formula>$D12="READY"</x:formula>
    </x:cfRule>
    <x:cfRule type="expression" dxfId="71" priority="24">
      <x:formula>$D12="DEFERRED"</x:formula>
    </x:cfRule>
  </x:conditionalFormatting>
  <x:dataValidations count="2">
    <x:dataValidation type="list" sqref="C5:C8">
      <x:formula1>"PENDING,SIGNED,REJECTED"</x:formula1>
    </x:dataValidation>
    <x:dataValidation type="list" sqref="D12:D18">
      <x:formula1>"PENDING,PASS,FAIL,READY,ACCEPTED"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8" customHeight="1">
      <x:c r="A1" s="4" t="str">
        <x:v>CONTROLLED VALUES / REFERENCE</x:v>
      </x:c>
      <x:c r="B1" s="4"/>
      <x:c r="C1" s="4"/>
      <x:c r="D1" s="4"/>
      <x:c r="E1" s="4"/>
      <x:c r="F1" s="4"/>
      <x:c r="G1" s="4"/>
      <x:c r="H1" s="4"/>
      <x:c r="I1" s="58"/>
      <x:c r="J1" s="58"/>
      <x:c r="K1" s="58"/>
      <x:c r="L1" s="58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Stable enumerations used by QA workbook.</x:v>
      </x:c>
      <x:c r="B2" s="11"/>
      <x:c r="C2" s="11"/>
      <x:c r="D2" s="11"/>
      <x:c r="E2" s="11"/>
      <x:c r="F2" s="11"/>
      <x:c r="G2" s="11"/>
      <x:c r="H2" s="11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List</x:v>
      </x:c>
      <x:c r="B4" s="46" t="str">
        <x:v>1</x:v>
      </x:c>
      <x:c r="C4" s="46" t="str">
        <x:v>2</x:v>
      </x:c>
      <x:c r="D4" s="46" t="str">
        <x:v>3</x:v>
      </x:c>
      <x:c r="E4" s="46" t="str">
        <x:v>4</x:v>
      </x:c>
      <x:c r="F4" s="46" t="str">
        <x:v>5</x:v>
      </x:c>
      <x:c r="G4" s="46" t="str">
        <x:v>6</x:v>
      </x:c>
      <x:c r="H4" s="46" t="str">
        <x:v>7</x:v>
      </x:c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Test status</x:v>
      </x:c>
      <x:c r="B5" s="47" t="str">
        <x:v>NOT RUN</x:v>
      </x:c>
      <x:c r="C5" s="47" t="str">
        <x:v>IN PROGRESS</x:v>
      </x:c>
      <x:c r="D5" s="47" t="str">
        <x:v>PASS</x:v>
      </x:c>
      <x:c r="E5" s="47" t="str">
        <x:v>FAIL</x:v>
      </x:c>
      <x:c r="F5" s="47" t="str">
        <x:v>BLOCKED</x:v>
      </x:c>
      <x:c r="G5" s="47" t="str">
        <x:v>DEFERRED</x:v>
      </x:c>
      <x:c r="H5" s="47" t="str"/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 t="str">
        <x:v>Severity</x:v>
      </x:c>
      <x:c r="B6" s="47" t="str">
        <x:v>P0</x:v>
      </x:c>
      <x:c r="C6" s="47" t="str">
        <x:v>P1</x:v>
      </x:c>
      <x:c r="D6" s="47" t="str">
        <x:v>P2</x:v>
      </x:c>
      <x:c r="E6" s="47" t="str">
        <x:v>P3</x:v>
      </x:c>
      <x:c r="F6" s="47" t="str"/>
      <x:c r="G6" s="47" t="str"/>
      <x:c r="H6" s="47" t="str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 t="str">
        <x:v>Defect status</x:v>
      </x:c>
      <x:c r="B7" s="47" t="str">
        <x:v>OPEN</x:v>
      </x:c>
      <x:c r="C7" s="47" t="str">
        <x:v>IN PROGRESS</x:v>
      </x:c>
      <x:c r="D7" s="47" t="str">
        <x:v>READY FOR RETEST</x:v>
      </x:c>
      <x:c r="E7" s="47" t="str">
        <x:v>CLOSED</x:v>
      </x:c>
      <x:c r="F7" s="47" t="str">
        <x:v>WONT FIX ACCEPTED</x:v>
      </x:c>
      <x:c r="G7" s="47" t="str">
        <x:v>DUPLICATE</x:v>
      </x:c>
      <x:c r="H7" s="47" t="str"/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 t="str">
        <x:v>Signoff</x:v>
      </x:c>
      <x:c r="B8" s="47" t="str">
        <x:v>PENDING</x:v>
      </x:c>
      <x:c r="C8" s="47" t="str">
        <x:v>SIGNED</x:v>
      </x:c>
      <x:c r="D8" s="47" t="str">
        <x:v>REJECTED</x:v>
      </x:c>
      <x:c r="E8" s="47" t="str"/>
      <x:c r="F8" s="47" t="str"/>
      <x:c r="G8" s="47" t="str"/>
      <x:c r="H8" s="47" t="str"/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7" t="str">
        <x:v>Run decision</x:v>
      </x:c>
      <x:c r="B9" s="47" t="str">
        <x:v>IN PROGRESS</x:v>
      </x:c>
      <x:c r="C9" s="47" t="str">
        <x:v>REJECTED</x:v>
      </x:c>
      <x:c r="D9" s="47" t="str">
        <x:v>READY FOR SIGNOFF</x:v>
      </x:c>
      <x:c r="E9" s="47" t="str">
        <x:v>ACCEPTED</x:v>
      </x:c>
      <x:c r="F9" s="47" t="str"/>
      <x:c r="G9" s="47" t="str"/>
      <x:c r="H9" s="47" t="str"/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5"/>
      <x:c r="B10" s="45"/>
      <x:c r="C10" s="45"/>
      <x:c r="D10" s="45"/>
      <x:c r="E10" s="45"/>
      <x:c r="F10" s="45"/>
      <x:c r="G10" s="45"/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5"/>
      <x:c r="B11" s="45"/>
      <x:c r="C11" s="45"/>
      <x:c r="D11" s="45"/>
      <x:c r="E11" s="45"/>
      <x:c r="F11" s="45"/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5"/>
      <x:c r="B12" s="45"/>
      <x:c r="C12" s="45"/>
      <x:c r="D12" s="45"/>
      <x:c r="E12" s="45"/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8" hidden="0" customWidth="1"/>
    <x:col min="3" max="3" width="72" hidden="0" customWidth="1"/>
    <x:col min="4" max="4" width="28" hidden="0" customWidth="1"/>
    <x:col min="5" max="5" width="28" hidden="0" customWidth="1"/>
    <x:col min="6" max="6" width="54" hidden="0" customWidth="1"/>
  </x:cols>
  <x:sheetData>
    <x:row r="1" ht="30" customHeight="1">
      <x:c r="A1" s="86" t="str">
        <x:v>MINGO — PHASE 2 INDEPENDENT QC/QA AUDIT</x:v>
      </x:c>
      <x:c r="B1" s="86" t="str"/>
      <x:c r="C1" s="86" t="str"/>
      <x:c r="D1" s="82" t="str"/>
      <x:c r="E1" s="82" t="str"/>
      <x:c r="F1" s="82" t="str"/>
    </x:row>
    <x:row r="2">
      <x:c r="A2" s="26" t="str">
        <x:v>Audit date</x:v>
      </x:c>
      <x:c r="B2" s="26" t="str">
        <x:v>2026-09-27</x:v>
      </x:c>
      <x:c r="C2" s="26" t="str">
        <x:v>Decision</x:v>
      </x:c>
      <x:c r="D2" s="76" t="str">
        <x:v>NOT PASSED — REWORK REQUIRED</x:v>
      </x:c>
      <x:c r="E2" s="26" t="str">
        <x:v>Architecture</x:v>
      </x:c>
      <x:c r="F2" s="26" t="str">
        <x:v>V3.2 unchanged</x:v>
      </x:c>
    </x:row>
    <x:row r="3">
      <x:c r="A3" s="26" t="str">
        <x:v>Method</x:v>
      </x:c>
      <x:c r="B3" s="26" t="str">
        <x:v>Package integrity + static verifier + workbook audit + source-code interaction audit + evidence screenshot review + research benchmark</x:v>
      </x:c>
      <x:c r="C3" s="26" t="str"/>
      <x:c r="D3" s="26" t="str"/>
      <x:c r="E3" s="26" t="str"/>
      <x:c r="F3" s="26" t="str"/>
    </x:row>
    <x:row r="4">
      <x:c r="A4" s="26" t="str">
        <x:v>Important limitation</x:v>
      </x:c>
      <x:c r="B4" s="26" t="str">
        <x:v>Fresh browser runtime navigation was blocked by this execution environment; source/state defects are deterministic, while unexecuted interactive cases remain NOT RUN/BLOCKED.</x:v>
      </x:c>
      <x:c r="C4" s="26" t="str"/>
      <x:c r="D4" s="26" t="str"/>
      <x:c r="E4" s="26" t="str"/>
      <x:c r="F4" s="26" t="str"/>
    </x:row>
    <x:row r="5">
      <x:c r="A5" s="26" t="str"/>
      <x:c r="B5" s="26" t="str"/>
      <x:c r="C5" s="26" t="str"/>
      <x:c r="D5" s="26" t="str"/>
      <x:c r="E5" s="26" t="str"/>
      <x:c r="F5" s="26" t="str"/>
    </x:row>
    <x:row r="6">
      <x:c r="A6" s="74" t="str">
        <x:v>CONTROL METRICS</x:v>
      </x:c>
      <x:c r="B6" s="74" t="str">
        <x:v>Observed</x:v>
      </x:c>
      <x:c r="C6" s="74" t="str">
        <x:v>Interpretation</x:v>
      </x:c>
      <x:c r="D6" s="87" t="str">
        <x:v>INDEPENDENT QA EXTENSION</x:v>
      </x:c>
      <x:c r="E6" s="87" t="str">
        <x:v>Observed</x:v>
      </x:c>
      <x:c r="F6" s="87" t="str">
        <x:v>Why</x:v>
      </x:c>
    </x:row>
    <x:row r="7">
      <x:c r="A7" s="26" t="str">
        <x:v>Manifest integrity</x:v>
      </x:c>
      <x:c r="B7" s="26" t="str">
        <x:v>PASS</x:v>
      </x:c>
      <x:c r="C7" s="26" t="str">
        <x:v>All files in candidate manifest verified.</x:v>
      </x:c>
      <x:c r="D7" s="26" t="str">
        <x:v>Added cases</x:v>
      </x:c>
      <x:c r="E7" s="26" t="n">
        <x:v>7</x:v>
      </x:c>
      <x:c r="F7" s="26" t="str">
        <x:v>Cases added to catch coverage gaps found during audit.</x:v>
      </x:c>
    </x:row>
    <x:row r="8">
      <x:c r="A8" s="26" t="str">
        <x:v>Static artifact verifier</x:v>
      </x:c>
      <x:c r="B8" s="26" t="str">
        <x:v>PASS</x:v>
      </x:c>
      <x:c r="C8" s="26" t="str">
        <x:v>57 screens / 18 components / 16 PRDs / 87 QA cases; no verifier errors.</x:v>
      </x:c>
      <x:c r="D8" s="26" t="str">
        <x:v>New P0 cases</x:v>
      </x:c>
      <x:c r="E8" s="26" t="n">
        <x:v>2</x:v>
      </x:c>
      <x:c r="F8" s="26" t="str">
        <x:v>Blank-submit integrity; connectivity ≠ authoritative sync.</x:v>
      </x:c>
    </x:row>
    <x:row r="9">
      <x:c r="A9" s="26" t="str">
        <x:v>Prepared QA cases</x:v>
      </x:c>
      <x:c r="B9" s="26" t="n">
        <x:v>87</x:v>
      </x:c>
      <x:c r="C9" s="26" t="str">
        <x:v>42 P0 + 45 P1.</x:v>
      </x:c>
      <x:c r="D9" s="26" t="str">
        <x:v>New P1 cases</x:v>
      </x:c>
      <x:c r="E9" s="26" t="n">
        <x:v>5</x:v>
      </x:c>
      <x:c r="F9" s="26" t="str">
        <x:v>Grammar, Listening, publishing lifecycle, accessibility names, traceability.</x:v>
      </x:c>
    </x:row>
    <x:row r="10">
      <x:c r="A10" s="26" t="str">
        <x:v>Original execution state</x:v>
      </x:c>
      <x:c r="B10" s="26" t="str">
        <x:v>0/87 executed</x:v>
      </x:c>
      <x:c r="C10" s="26" t="str">
        <x:v>Candidate was not QA-passed when delivered.</x:v>
      </x:c>
      <x:c r="D10" s="26" t="str">
        <x:v>Current live total</x:v>
      </x:c>
      <x:c r="E10" s="26" t="n">
        <x:v>94</x:v>
      </x:c>
      <x:c r="F10" s="26" t="str">
        <x:v>87 original + 7 independent gap/regression cases.</x:v>
      </x:c>
    </x:row>
    <x:row r="11">
      <x:c r="A11" s="26" t="str">
        <x:v>Screen→QA explicit mapping</x:v>
      </x:c>
      <x:c r="B11" s="26" t="str">
        <x:v>0/57</x:v>
      </x:c>
      <x:c r="C11" s="26" t="str">
        <x:v>No screen ID occurs explicitly in QA_TEST_CASES.csv.</x:v>
      </x:c>
      <x:c r="D11" s="26" t="str">
        <x:v>Independent status</x:v>
      </x:c>
      <x:c r="E11" s="26" t="str">
        <x:v>10 PASS / 10 FAIL / 7 BLOCKED / 67 NOT RUN</x:v>
      </x:c>
      <x:c r="F11" s="26" t="str">
        <x:v>After adding the new cases; full runtime execution still required.</x:v>
      </x:c>
    </x:row>
    <x:row r="12">
      <x:c r="A12" s="26" t="str">
        <x:v>PRD traceability screen references</x:v>
      </x:c>
      <x:c r="B12" s="26" t="str">
        <x:v>34/57 (59.6%)</x:v>
      </x:c>
      <x:c r="C12" s="26" t="str">
        <x:v>Supporting screens may be valid, but state-level coverage is not demonstrable.</x:v>
      </x:c>
      <x:c r="D12" s="26" t="str">
        <x:v>Open P0/P1 defects</x:v>
      </x:c>
      <x:c r="E12" s="26" t="n">
        <x:v>14</x:v>
      </x:c>
      <x:c r="F12" s="26" t="str">
        <x:v>3 P0 + 11 P1; gate cannot pass.</x:v>
      </x:c>
    </x:row>
    <x:row r="13">
      <x:c r="A13" s="26" t="str">
        <x:v>Independent defects logged</x:v>
      </x:c>
      <x:c r="B13" s="26" t="n">
        <x:v>16</x:v>
      </x:c>
      <x:c r="C13" s="26" t="str">
        <x:v>P0/P1 must be closed before gate; P2 requires explicit acceptance if deferred.</x:v>
      </x:c>
      <x:c r="D13" s="26" t="str">
        <x:v>P2 observations</x:v>
      </x:c>
      <x:c r="E13" s="26" t="n">
        <x:v>2</x:v>
      </x:c>
      <x:c r="F13" s="26" t="str">
        <x:v>May defer only with explicit acceptance after mandatory issues close.</x:v>
      </x:c>
    </x:row>
    <x:row r="14">
      <x:c r="A14" s="26" t="str"/>
      <x:c r="B14" s="26" t="str"/>
      <x:c r="C14" s="26" t="str"/>
      <x:c r="D14" s="26" t="str"/>
      <x:c r="E14" s="26" t="str"/>
      <x:c r="F14" s="26" t="str"/>
    </x:row>
    <x:row r="15">
      <x:c r="A15" s="74" t="str">
        <x:v>GATE ASSESSMENT</x:v>
      </x:c>
      <x:c r="B15" s="74" t="str">
        <x:v>Status</x:v>
      </x:c>
      <x:c r="C15" s="74" t="str">
        <x:v>Reason</x:v>
      </x:c>
      <x:c r="D15" s="74" t="str"/>
      <x:c r="E15" s="74" t="str"/>
      <x:c r="F15" s="74" t="str"/>
    </x:row>
    <x:row r="16">
      <x:c r="A16" s="26" t="str">
        <x:v>Package/provenance</x:v>
      </x:c>
      <x:c r="B16" s="26" t="str">
        <x:v>PASS</x:v>
      </x:c>
      <x:c r="C16" s="26" t="str">
        <x:v>Strong organization, checksums, V3.2 provenance and phase boundaries.</x:v>
      </x:c>
      <x:c r="D16" s="26" t="str"/>
      <x:c r="E16" s="26" t="str"/>
      <x:c r="F16" s="26" t="str"/>
    </x:row>
    <x:row r="17">
      <x:c r="A17" s="26" t="str">
        <x:v>Learning integrity</x:v>
      </x:c>
      <x:c r="B17" s="26" t="str">
        <x:v>FAIL</x:v>
      </x:c>
      <x:c r="C17" s="26" t="str">
        <x:v>Wrong answer key, blank progression, assisted-state loss.</x:v>
      </x:c>
      <x:c r="D17" s="26" t="str"/>
      <x:c r="E17" s="26" t="str"/>
      <x:c r="F17" s="26" t="str"/>
    </x:row>
    <x:row r="18">
      <x:c r="A18" s="26" t="str">
        <x:v>Offline/server-authority UX</x:v>
      </x:c>
      <x:c r="B18" s="26" t="str">
        <x:v>FAIL</x:v>
      </x:c>
      <x:c r="C18" s="26" t="str">
        <x:v>Network restoration is conflated with authoritative sync; mandatory recovery states not executable.</x:v>
      </x:c>
      <x:c r="D18" s="26" t="str"/>
      <x:c r="E18" s="26" t="str"/>
      <x:c r="F18" s="26" t="str"/>
    </x:row>
    <x:row r="19">
      <x:c r="A19" s="26" t="str">
        <x:v>MVP domain coverage</x:v>
      </x:c>
      <x:c r="B19" s="26" t="str">
        <x:v>FAIL</x:v>
      </x:c>
      <x:c r="C19" s="26" t="str">
        <x:v>Listening and grammar interaction examples are not implementation-testable.</x:v>
      </x:c>
      <x:c r="D19" s="26" t="str"/>
      <x:c r="E19" s="26" t="str"/>
      <x:c r="F19" s="26" t="str"/>
    </x:row>
    <x:row r="20">
      <x:c r="A20" s="26" t="str">
        <x:v>Staff content lifecycle</x:v>
      </x:c>
      <x:c r="B20" s="26" t="str">
        <x:v>FAIL</x:v>
      </x:c>
      <x:c r="C20" s="26" t="str">
        <x:v>Publish lifecycle is not end-to-end executable.</x:v>
      </x:c>
      <x:c r="D20" s="26" t="str"/>
      <x:c r="E20" s="26" t="str"/>
      <x:c r="F20" s="26" t="str"/>
    </x:row>
    <x:row r="21">
      <x:c r="A21" s="26" t="str">
        <x:v>Accessibility readiness</x:v>
      </x:c>
      <x:c r="B21" s="26" t="str">
        <x:v>FAIL/PENDING</x:v>
      </x:c>
      <x:c r="C21" s="26" t="str">
        <x:v>Good target-size/contrast intent, but accessible names and focus/live-region strategy need repair and real testing.</x:v>
      </x:c>
      <x:c r="D21" s="26" t="str"/>
      <x:c r="E21" s="26" t="str"/>
      <x:c r="F21" s="26" t="str"/>
    </x:row>
    <x:row r="22">
      <x:c r="A22" s="26" t="str">
        <x:v>Developer handoff</x:v>
      </x:c>
      <x:c r="B22" s="26" t="str">
        <x:v>FAIL</x:v>
      </x:c>
      <x:c r="C22" s="26" t="str">
        <x:v>Complex screen interaction contracts and screen/state→QA mapping remain underspecified.</x:v>
      </x:c>
      <x:c r="D22" s="26" t="str"/>
      <x:c r="E22" s="26" t="str"/>
      <x:c r="F22" s="26" t="str"/>
    </x:row>
    <x:row r="23">
      <x:c r="A23" s="26" t="str">
        <x:v>Phase 2 gate</x:v>
      </x:c>
      <x:c r="B23" s="76" t="str">
        <x:v>NOT PASSED</x:v>
      </x:c>
      <x:c r="C23" s="26" t="str">
        <x:v>Open P0/P1 defects + mandatory P0 cases not fully passed + signoffs pending.</x:v>
      </x:c>
      <x:c r="D23" s="26" t="str"/>
      <x:c r="E23" s="26" t="str"/>
      <x:c r="F23" s="26" t="str"/>
    </x:row>
    <x:row r="24">
      <x:c r="A24" s="26" t="str"/>
      <x:c r="B24" s="26" t="str"/>
      <x:c r="C24" s="26" t="str"/>
      <x:c r="D24" s="26" t="str"/>
      <x:c r="E24" s="26" t="str"/>
      <x:c r="F24" s="26" t="str"/>
    </x:row>
    <x:row r="25">
      <x:c r="A25" s="74" t="str">
        <x:v>RESEARCH BENCHMARK</x:v>
      </x:c>
      <x:c r="B25" s="74" t="str">
        <x:v>Implication for Mingo</x:v>
      </x:c>
      <x:c r="C25" s="74" t="str">
        <x:v>Source</x:v>
      </x:c>
      <x:c r="D25" s="74" t="str"/>
      <x:c r="E25" s="74" t="str"/>
      <x:c r="F25" s="74" t="str"/>
    </x:row>
    <x:row r="26">
      <x:c r="A26" s="26" t="str">
        <x:v>Retrieval practice</x:v>
      </x:c>
      <x:c r="B26" s="26" t="str">
        <x:v>Keep Retrieve/Check meaningful and independent; correctness/evidence semantics are product-critical, not cosmetic.</x:v>
      </x:c>
      <x:c r="C26" s="26" t="str">
        <x:v>Roediger &amp; Karpicke (2006), PMID 16507066</x:v>
      </x:c>
      <x:c r="D26" s="26" t="str"/>
      <x:c r="E26" s="26" t="str"/>
      <x:c r="F26" s="26" t="str"/>
    </x:row>
    <x:row r="27">
      <x:c r="A27" s="26" t="str">
        <x:v>Spacing</x:v>
      </x:c>
      <x:c r="B27" s="26" t="str">
        <x:v>Due-review is scientifically defensible, but exact spacing policy remains a product hypothesis to validate.</x:v>
      </x:c>
      <x:c r="C27" s="26" t="str">
        <x:v>Cepeda et al. (2006), PMID 16719566</x:v>
      </x:c>
      <x:c r="D27" s="26" t="str"/>
      <x:c r="E27" s="26" t="str"/>
      <x:c r="F27" s="26" t="str"/>
    </x:row>
    <x:row r="28">
      <x:c r="A28" s="26" t="str">
        <x:v>Transfer</x:v>
      </x:c>
      <x:c r="B28" s="26" t="str">
        <x:v>Transfer step has pedagogical value when cue/context genuinely changes.</x:v>
      </x:c>
      <x:c r="C28" s="26" t="str">
        <x:v>Butler (2010), PMID 20804289</x:v>
      </x:c>
      <x:c r="D28" s="26" t="str"/>
      <x:c r="E28" s="26" t="str"/>
      <x:c r="F28" s="26" t="str"/>
    </x:row>
    <x:row r="29">
      <x:c r="A29" s="26" t="str">
        <x:v>Adult L2 vocabulary</x:v>
      </x:c>
      <x:c r="B29" s="26" t="str">
        <x:v>Avoid exposure-only design; combine spacing, retrieval and semantic/user-generated responses.</x:v>
      </x:c>
      <x:c r="C29" s="26" t="str">
        <x:v>Rice &amp; Tokowicz review, SSLA 2020, DOI 10.1017/S0272263119000500</x:v>
      </x:c>
      <x:c r="D29" s="26" t="str"/>
      <x:c r="E29" s="26" t="str"/>
      <x:c r="F29" s="26" t="str"/>
    </x:row>
    <x:row r="30">
      <x:c r="A30" s="26" t="str">
        <x:v>Short sessions</x:v>
      </x:c>
      <x:c r="B30" s="26" t="str">
        <x:v>Microlearning supports bite-sized targeted activity, but evidence does not justify hard-freezing exactly 5 minutes.</x:v>
      </x:c>
      <x:c r="C30" s="26" t="str">
        <x:v>Heliyon systematic review (2024), DOI 10.1016/j.heliyon.2024.e41413</x:v>
      </x:c>
      <x:c r="D30" s="26" t="str"/>
      <x:c r="E30" s="26" t="str"/>
      <x:c r="F30" s="26" t="str"/>
    </x:row>
    <x:row r="31">
      <x:c r="A31" s="26" t="str">
        <x:v>Autonomy</x:v>
      </x:c>
      <x:c r="B31" s="26" t="str">
        <x:v>Optional goal/placement and explicit rationale are directionally sound; preserve learner choice without weakening prerequisites.</x:v>
      </x:c>
      <x:c r="C31" s="26" t="str">
        <x:v>Contemporary Educational Psychology meta-analysis (2023), DOI 10.1016/j.cedpsych.2023.102235</x:v>
      </x:c>
      <x:c r="D31" s="26" t="str"/>
      <x:c r="E31" s="26" t="str"/>
      <x:c r="F31" s="26" t="str"/>
    </x:row>
    <x:row r="32">
      <x:c r="A32" s="26" t="str">
        <x:v>Mobile accessibility</x:v>
      </x:c>
      <x:c r="B32" s="26" t="str">
        <x:v>48dp target baseline is appropriate for Android-first learner UI.</x:v>
      </x:c>
      <x:c r="C32" s="26" t="str">
        <x:v>Android Developers accessibility guidance</x:v>
      </x:c>
      <x:c r="D32" s="26" t="str"/>
      <x:c r="E32" s="26" t="str"/>
      <x:c r="F32" s="26" t="str"/>
    </x:row>
    <x:row r="33">
      <x:c r="A33" s="26" t="str">
        <x:v>Web accessibility</x:v>
      </x:c>
      <x:c r="B33" s="26" t="str">
        <x:v>Contrast, 200% text resize and non-color-only semantics should remain gate checks.</x:v>
      </x:c>
      <x:c r="C33" s="26" t="str">
        <x:v>WCAG 2.2</x:v>
      </x:c>
      <x:c r="D33" s="26" t="str"/>
      <x:c r="E33" s="26" t="str"/>
      <x:c r="F33" s="26" t="str"/>
    </x:row>
    <x:row r="34">
      <x:c r="A34" s="26" t="str">
        <x:v>Gamification</x:v>
      </x:c>
      <x:c r="B34" s="26" t="str">
        <x:v>Avoid assuming leaderboards/competition are universally beneficial; context and individual preference matter.</x:v>
      </x:c>
      <x:c r="C34" s="26" t="str">
        <x:v>Ameen (2026) systematic review, DOI 10.1186/s40561-026-00447-z</x:v>
      </x:c>
      <x:c r="D34" s="26" t="str"/>
      <x:c r="E34" s="26" t="str"/>
      <x:c r="F34" s="26" t="str"/>
    </x:row>
    <x:row r="35">
      <x:c r="A35" s="26" t="str"/>
      <x:c r="B35" s="26" t="str"/>
      <x:c r="C35" s="26" t="str"/>
      <x:c r="D35" s="26" t="str"/>
      <x:c r="E35" s="26" t="str"/>
      <x:c r="F35" s="26" t="str"/>
    </x:row>
    <x:row r="36">
      <x:c r="A36" s="74" t="str">
        <x:v>REQUIRED REWORK ORDER</x:v>
      </x:c>
      <x:c r="B36" s="74" t="str">
        <x:v>Acceptance condition</x:v>
      </x:c>
      <x:c r="C36" s="74" t="str"/>
      <x:c r="D36" s="74" t="str"/>
      <x:c r="E36" s="74" t="str"/>
      <x:c r="F36" s="74" t="str"/>
    </x:row>
    <x:row r="37">
      <x:c r="A37" s="26" t="str">
        <x:v>1. Learning-integrity blockers</x:v>
      </x:c>
      <x:c r="B37" s="26" t="str">
        <x:v>Fix P2-D001..D003 and add regression cases for answer key, blank submit, hint-assisted evidence.</x:v>
      </x:c>
      <x:c r="C37" s="26" t="str"/>
      <x:c r="D37" s="26" t="str"/>
      <x:c r="E37" s="26" t="str"/>
      <x:c r="F37" s="26" t="str"/>
    </x:row>
    <x:row r="38">
      <x:c r="A38" s="26" t="str">
        <x:v>2. Offline authority states</x:v>
      </x:c>
      <x:c r="B38" s="26" t="str">
        <x:v>Fix P2-D004/D006; demonstrate queued→syncing→acknowledged synced and error/canonical refresh.</x:v>
      </x:c>
      <x:c r="C38" s="26" t="str"/>
      <x:c r="D38" s="26" t="str"/>
      <x:c r="E38" s="26" t="str"/>
      <x:c r="F38" s="26" t="str"/>
    </x:row>
    <x:row r="39">
      <x:c r="A39" s="26" t="str">
        <x:v>3. MVP content interaction coverage</x:v>
      </x:c>
      <x:c r="B39" s="26" t="str">
        <x:v>Add executable Listening + Grammar examples and first-use/placement flow.</x:v>
      </x:c>
      <x:c r="C39" s="26" t="str"/>
      <x:c r="D39" s="26" t="str"/>
      <x:c r="E39" s="26" t="str"/>
      <x:c r="F39" s="26" t="str"/>
    </x:row>
    <x:row r="40">
      <x:c r="A40" s="26" t="str">
        <x:v>4. Staff publishing</x:v>
      </x:c>
      <x:c r="B40" s="26" t="str">
        <x:v>Make draft→review→provenance fix→approve→publish confirmation→published/new-draft executable.</x:v>
      </x:c>
      <x:c r="C40" s="26" t="str"/>
      <x:c r="D40" s="26" t="str"/>
      <x:c r="E40" s="26" t="str"/>
      <x:c r="F40" s="26" t="str"/>
    </x:row>
    <x:row r="41">
      <x:c r="A41" s="26" t="str">
        <x:v>5. Accessibility</x:v>
      </x:c>
      <x:c r="B41" s="26" t="str">
        <x:v>Repair accessible names/focus semantics and run keyboard, screen-reader/TalkBack, contrast, 200% scale and viewport checks.</x:v>
      </x:c>
      <x:c r="C41" s="26" t="str"/>
      <x:c r="D41" s="26" t="str"/>
      <x:c r="E41" s="26" t="str"/>
      <x:c r="F41" s="26" t="str"/>
    </x:row>
    <x:row r="42">
      <x:c r="A42" s="26" t="str">
        <x:v>6. Handoff/traceability</x:v>
      </x:c>
      <x:c r="B42" s="26" t="str">
        <x:v>Add detailed complex-screen contracts and Screen→State→QA mapping; then rerun all P0 and full suite.</x:v>
      </x:c>
      <x:c r="C42" s="26" t="str"/>
      <x:c r="D42" s="26" t="str"/>
      <x:c r="E42" s="26" t="str"/>
      <x:c r="F42" s="26" t="str"/>
    </x:row>
  </x:sheetData>
  <x:mergeCells>
    <x:mergeCell ref="A1:F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39" hidden="0" customWidth="1"/>
    <x:col min="4" max="4" width="17" hidden="0" customWidth="1"/>
    <x:col min="5" max="5" width="42" hidden="0" customWidth="1"/>
    <x:col min="6" max="6" width="28" hidden="0" customWidth="1"/>
    <x:col min="7" max="7" width="30" hidden="0" customWidth="1"/>
    <x:col min="8" max="8" width="24" hidden="0" customWidth="1"/>
  </x:cols>
  <x:sheetData>
    <x:row r="1">
      <x:c r="A1" s="89" t="str">
        <x:v>PHASE 2 REWORK R1 — FIX / RETEST CONTROL</x:v>
      </x:c>
      <x:c r="B1" s="89"/>
      <x:c r="C1" s="89"/>
      <x:c r="D1" s="89"/>
      <x:c r="E1" s="89"/>
      <x:c r="F1" s="89"/>
      <x:c r="G1" s="89"/>
      <x:c r="H1" s="89"/>
    </x:row>
    <x:row r="2">
      <x:c r="A2" s="92" t="str">
        <x:v>All 16 audit findings have R1 source/spec fixes. Nothing is CLOSED until Codex execution and independent QC/QA retest provide evidence.</x:v>
      </x:c>
      <x:c r="B2" s="92"/>
      <x:c r="C2" s="92"/>
      <x:c r="D2" s="92"/>
      <x:c r="E2" s="92"/>
      <x:c r="F2" s="92"/>
      <x:c r="G2" s="92"/>
      <x:c r="H2" s="92"/>
    </x:row>
    <x:row r="4">
      <x:c r="A4" s="97" t="str">
        <x:v>Defect</x:v>
      </x:c>
      <x:c r="B4" s="97" t="str">
        <x:v>Severity</x:v>
      </x:c>
      <x:c r="C4" s="97" t="str">
        <x:v>Finding</x:v>
      </x:c>
      <x:c r="D4" s="97" t="str">
        <x:v>R1 source status</x:v>
      </x:c>
      <x:c r="E4" s="97" t="str">
        <x:v>Fix evidence</x:v>
      </x:c>
      <x:c r="F4" s="97" t="str">
        <x:v>Regression case</x:v>
      </x:c>
      <x:c r="G4" s="97" t="str">
        <x:v>Codex obligation</x:v>
      </x:c>
      <x:c r="H4" s="97" t="str">
        <x:v>QA closure owner</x:v>
      </x:c>
    </x:row>
    <x:row r="5">
      <x:c r="A5" s="26" t="str">
        <x:v>P2-D001</x:v>
      </x:c>
      <x:c r="B5" s="26" t="str">
        <x:v>P0</x:v>
      </x:c>
      <x:c r="C5" s="26" t="str">
        <x:v>Wrong Retrieve answer key</x:v>
      </x:c>
      <x:c r="D5" s="26" t="str">
        <x:v>FIXED IN R1</x:v>
      </x:c>
      <x:c r="E5" s="26" t="str">
        <x:v>prototype/app.js</x:v>
      </x:c>
      <x:c r="F5" s="26" t="str">
        <x:v>QA-LRN-006</x:v>
      </x:c>
      <x:c r="G5" s="26" t="str">
        <x:v>Codex browser regression</x:v>
      </x:c>
      <x:c r="H5" s="26" t="str">
        <x:v>Independent QA retest</x:v>
      </x:c>
    </x:row>
    <x:row r="6">
      <x:c r="A6" s="26" t="str">
        <x:v>P2-D002</x:v>
      </x:c>
      <x:c r="B6" s="26" t="str">
        <x:v>P0</x:v>
      </x:c>
      <x:c r="C6" s="26" t="str">
        <x:v>Blank required-response progression</x:v>
      </x:c>
      <x:c r="D6" s="26" t="str">
        <x:v>FIXED IN R1</x:v>
      </x:c>
      <x:c r="E6" s="26" t="str">
        <x:v>prototype/app.js + interaction contracts</x:v>
      </x:c>
      <x:c r="F6" s="26" t="str">
        <x:v>QA-LRN-021; QA-BIZ-002</x:v>
      </x:c>
      <x:c r="G6" s="26" t="str">
        <x:v>Codex P0 regression</x:v>
      </x:c>
      <x:c r="H6" s="26" t="str">
        <x:v>Independent QA retest</x:v>
      </x:c>
    </x:row>
    <x:row r="7">
      <x:c r="A7" s="26" t="str">
        <x:v>P2-D003</x:v>
      </x:c>
      <x:c r="B7" s="26" t="str">
        <x:v>P0</x:v>
      </x:c>
      <x:c r="C7" s="26" t="str">
        <x:v>Hint-assisted context lost</x:v>
      </x:c>
      <x:c r="D7" s="26" t="str">
        <x:v>FIXED IN R1</x:v>
      </x:c>
      <x:c r="E7" s="26" t="str">
        <x:v>prototype/app.js</x:v>
      </x:c>
      <x:c r="F7" s="26" t="str">
        <x:v>QA-LRN-008; QA-BIZ-004</x:v>
      </x:c>
      <x:c r="G7" s="26" t="str">
        <x:v>Codex P0 regression</x:v>
      </x:c>
      <x:c r="H7" s="26" t="str">
        <x:v>Independent QA retest</x:v>
      </x:c>
    </x:row>
    <x:row r="8">
      <x:c r="A8" s="26" t="str">
        <x:v>P2-D004</x:v>
      </x:c>
      <x:c r="B8" s="26" t="str">
        <x:v>P1</x:v>
      </x:c>
      <x:c r="C8" s="26" t="str">
        <x:v>Network restoration shown as Synced</x:v>
      </x:c>
      <x:c r="D8" s="26" t="str">
        <x:v>FIXED IN R1</x:v>
      </x:c>
      <x:c r="E8" s="26" t="str">
        <x:v>prototype/app.js + offline spec</x:v>
      </x:c>
      <x:c r="F8" s="26" t="str">
        <x:v>QA-OFF-007; QA-OFF-002</x:v>
      </x:c>
      <x:c r="G8" s="26" t="str">
        <x:v>Codex offline regression</x:v>
      </x:c>
      <x:c r="H8" s="26" t="str">
        <x:v>Independent QA retest</x:v>
      </x:c>
    </x:row>
    <x:row r="9">
      <x:c r="A9" s="26" t="str">
        <x:v>P2-D005</x:v>
      </x:c>
      <x:c r="B9" s="26" t="str">
        <x:v>P1</x:v>
      </x:c>
      <x:c r="C9" s="26" t="str">
        <x:v>Retry loop unbounded</x:v>
      </x:c>
      <x:c r="D9" s="26" t="str">
        <x:v>FIXED IN R1</x:v>
      </x:c>
      <x:c r="E9" s="26" t="str">
        <x:v>prototype/app.js</x:v>
      </x:c>
      <x:c r="F9" s="26" t="str">
        <x:v>QA-LRN-007</x:v>
      </x:c>
      <x:c r="G9" s="26" t="str">
        <x:v>Codex browser regression</x:v>
      </x:c>
      <x:c r="H9" s="26" t="str">
        <x:v>Independent QA retest</x:v>
      </x:c>
    </x:row>
    <x:row r="10">
      <x:c r="A10" s="26" t="str">
        <x:v>P2-D006</x:v>
      </x:c>
      <x:c r="B10" s="26" t="str">
        <x:v>P1</x:v>
      </x:c>
      <x:c r="C10" s="26" t="str">
        <x:v>Offline recovery states not executable</x:v>
      </x:c>
      <x:c r="D10" s="26" t="str">
        <x:v>FIXED IN R1</x:v>
      </x:c>
      <x:c r="E10" s="26" t="str">
        <x:v>prototype/app.js</x:v>
      </x:c>
      <x:c r="F10" s="26" t="str">
        <x:v>QA-OFF-003; QA-OFF-004</x:v>
      </x:c>
      <x:c r="G10" s="26" t="str">
        <x:v>Codex state coverage</x:v>
      </x:c>
      <x:c r="H10" s="26" t="str">
        <x:v>Independent QA retest</x:v>
      </x:c>
    </x:row>
    <x:row r="11">
      <x:c r="A11" s="26" t="str">
        <x:v>P2-D007</x:v>
      </x:c>
      <x:c r="B11" s="26" t="str">
        <x:v>P1</x:v>
      </x:c>
      <x:c r="C11" s="26" t="str">
        <x:v>Onboarding/placement not executable</x:v>
      </x:c>
      <x:c r="D11" s="26" t="str">
        <x:v>FIXED IN R1</x:v>
      </x:c>
      <x:c r="E11" s="26" t="str">
        <x:v>prototype/app.js</x:v>
      </x:c>
      <x:c r="F11" s="26" t="str">
        <x:v>QA-NAV-002; QA-LRN-015</x:v>
      </x:c>
      <x:c r="G11" s="26" t="str">
        <x:v>Codex first-use run</x:v>
      </x:c>
      <x:c r="H11" s="26" t="str">
        <x:v>Independent QA retest</x:v>
      </x:c>
    </x:row>
    <x:row r="12">
      <x:c r="A12" s="26" t="str">
        <x:v>P2-D008</x:v>
      </x:c>
      <x:c r="B12" s="26" t="str">
        <x:v>P1</x:v>
      </x:c>
      <x:c r="C12" s="26" t="str">
        <x:v>Listening representative flow absent</x:v>
      </x:c>
      <x:c r="D12" s="26" t="str">
        <x:v>FIXED IN R1</x:v>
      </x:c>
      <x:c r="E12" s="26" t="str">
        <x:v>prototype/app.js</x:v>
      </x:c>
      <x:c r="F12" s="26" t="str">
        <x:v>QA-LRN-023; QA-LRN-014</x:v>
      </x:c>
      <x:c r="G12" s="26" t="str">
        <x:v>Codex listening run</x:v>
      </x:c>
      <x:c r="H12" s="26" t="str">
        <x:v>Independent QA retest</x:v>
      </x:c>
    </x:row>
    <x:row r="13">
      <x:c r="A13" s="26" t="str">
        <x:v>P2-D009</x:v>
      </x:c>
      <x:c r="B13" s="26" t="str">
        <x:v>P1</x:v>
      </x:c>
      <x:c r="C13" s="26" t="str">
        <x:v>Publishing lifecycle incomplete</x:v>
      </x:c>
      <x:c r="D13" s="26" t="str">
        <x:v>FIXED IN R1</x:v>
      </x:c>
      <x:c r="E13" s="26" t="str">
        <x:v>prototype/app.js</x:v>
      </x:c>
      <x:c r="F13" s="26" t="str">
        <x:v>QA-STF-011; QA-STF-004</x:v>
      </x:c>
      <x:c r="G13" s="26" t="str">
        <x:v>Codex staff lifecycle</x:v>
      </x:c>
      <x:c r="H13" s="26" t="str">
        <x:v>Independent QA retest</x:v>
      </x:c>
    </x:row>
    <x:row r="14">
      <x:c r="A14" s="26" t="str">
        <x:v>P2-D010</x:v>
      </x:c>
      <x:c r="B14" s="26" t="str">
        <x:v>P1</x:v>
      </x:c>
      <x:c r="C14" s="26" t="str">
        <x:v>Critical inputs lack accessible names</x:v>
      </x:c>
      <x:c r="D14" s="26" t="str">
        <x:v>FIXED IN R1</x:v>
      </x:c>
      <x:c r="E14" s="26" t="str">
        <x:v>prototype/app.js</x:v>
      </x:c>
      <x:c r="F14" s="26" t="str">
        <x:v>QA-ACC-013</x:v>
      </x:c>
      <x:c r="G14" s="26" t="str">
        <x:v>Accessibility tree check</x:v>
      </x:c>
      <x:c r="H14" s="26" t="str">
        <x:v>Independent QA retest</x:v>
      </x:c>
    </x:row>
    <x:row r="15">
      <x:c r="A15" s="26" t="str">
        <x:v>P2-D011</x:v>
      </x:c>
      <x:c r="B15" s="26" t="str">
        <x:v>P1</x:v>
      </x:c>
      <x:c r="C15" s="26" t="str">
        <x:v>Complex screens underspecified</x:v>
      </x:c>
      <x:c r="D15" s="26" t="str">
        <x:v>FIXED IN R1</x:v>
      </x:c>
      <x:c r="E15" s="26" t="str">
        <x:v>15_COMPLEX_SCREEN_INTERACTION_CONTRACTS.md</x:v>
      </x:c>
      <x:c r="F15" s="26" t="str">
        <x:v>QA-HO-001</x:v>
      </x:c>
      <x:c r="G15" s="26" t="str">
        <x:v>Tech/Codex handoff review</x:v>
      </x:c>
      <x:c r="H15" s="26" t="str">
        <x:v>Independent QC</x:v>
      </x:c>
    </x:row>
    <x:row r="16">
      <x:c r="A16" s="26" t="str">
        <x:v>P2-D012</x:v>
      </x:c>
      <x:c r="B16" s="26" t="str">
        <x:v>P1</x:v>
      </x:c>
      <x:c r="C16" s="26" t="str">
        <x:v>Screen/state→QA traceability missing</x:v>
      </x:c>
      <x:c r="D16" s="26" t="str">
        <x:v>FIXED IN R1</x:v>
      </x:c>
      <x:c r="E16" s="26" t="str">
        <x:v>SCREEN_STATE_QA_TRACEABILITY.csv</x:v>
      </x:c>
      <x:c r="F16" s="26" t="str">
        <x:v>QA-HO-006</x:v>
      </x:c>
      <x:c r="G16" s="26" t="str">
        <x:v>Codex/static verifier</x:v>
      </x:c>
      <x:c r="H16" s="26" t="str">
        <x:v>Independent QC</x:v>
      </x:c>
    </x:row>
    <x:row r="17">
      <x:c r="A17" s="26" t="str">
        <x:v>P2-D013</x:v>
      </x:c>
      <x:c r="B17" s="26" t="str">
        <x:v>P1</x:v>
      </x:c>
      <x:c r="C17" s="26" t="str">
        <x:v>Locked Preview non-functional</x:v>
      </x:c>
      <x:c r="D17" s="26" t="str">
        <x:v>FIXED IN R1</x:v>
      </x:c>
      <x:c r="E17" s="26" t="str">
        <x:v>prototype/app.js</x:v>
      </x:c>
      <x:c r="F17" s="26" t="str">
        <x:v>QA-LRN-018</x:v>
      </x:c>
      <x:c r="G17" s="26" t="str">
        <x:v>Codex browser regression</x:v>
      </x:c>
      <x:c r="H17" s="26" t="str">
        <x:v>Independent QA retest</x:v>
      </x:c>
    </x:row>
    <x:row r="18">
      <x:c r="A18" s="26" t="str">
        <x:v>P2-D014</x:v>
      </x:c>
      <x:c r="B18" s="26" t="str">
        <x:v>P2</x:v>
      </x:c>
      <x:c r="C18" s="26" t="str">
        <x:v>Focus/live-region strategy weak</x:v>
      </x:c>
      <x:c r="D18" s="26" t="str">
        <x:v>FIXED IN R1</x:v>
      </x:c>
      <x:c r="E18" s="26" t="str">
        <x:v>index/app + accessibility addendum</x:v>
      </x:c>
      <x:c r="F18" s="26" t="str">
        <x:v>QA-ACC-001; QA-ACC-002</x:v>
      </x:c>
      <x:c r="G18" s="26" t="str">
        <x:v>Keyboard/screen-reader review</x:v>
      </x:c>
      <x:c r="H18" s="26" t="str">
        <x:v>Independent QA</x:v>
      </x:c>
    </x:row>
    <x:row r="19">
      <x:c r="A19" s="26" t="str">
        <x:v>P2-D015</x:v>
      </x:c>
      <x:c r="B19" s="26" t="str">
        <x:v>P2</x:v>
      </x:c>
      <x:c r="C19" s="26" t="str">
        <x:v>Focus ring bypasses token</x:v>
      </x:c>
      <x:c r="D19" s="26" t="str">
        <x:v>FIXED IN R1</x:v>
      </x:c>
      <x:c r="E19" s="26" t="str">
        <x:v>prototype/styles.css</x:v>
      </x:c>
      <x:c r="F19" s="26" t="str">
        <x:v>QA-ACC-004; QA-HO-002</x:v>
      </x:c>
      <x:c r="G19" s="26" t="str">
        <x:v>Static/render check</x:v>
      </x:c>
      <x:c r="H19" s="26" t="str">
        <x:v>Independent QC/QA</x:v>
      </x:c>
    </x:row>
    <x:row r="20">
      <x:c r="A20" s="26" t="str">
        <x:v>P2-D016</x:v>
      </x:c>
      <x:c r="B20" s="26" t="str">
        <x:v>P1</x:v>
      </x:c>
      <x:c r="C20" s="26" t="str">
        <x:v>Grammar representative flow absent</x:v>
      </x:c>
      <x:c r="D20" s="26" t="str">
        <x:v>FIXED IN R1</x:v>
      </x:c>
      <x:c r="E20" s="26" t="str">
        <x:v>prototype/app.js</x:v>
      </x:c>
      <x:c r="F20" s="26" t="str">
        <x:v>QA-LRN-022</x:v>
      </x:c>
      <x:c r="G20" s="26" t="str">
        <x:v>Codex grammar run</x:v>
      </x:c>
      <x:c r="H20" s="26" t="str">
        <x:v>Independent QA retest</x:v>
      </x:c>
    </x:row>
  </x:sheetData>
  <x:mergeCells>
    <x:mergeCell ref="A1:H1"/>
    <x:mergeCell ref="A2:H2"/>
  </x:mergeCells>
  <x:conditionalFormatting sqref="D5:D20">
    <x:cfRule type="expression" dxfId="72" priority="1">
      <x:formula>$D5="FIXED IN R1"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52" hidden="0" customWidth="1"/>
    <x:col min="4" max="4" width="10" hidden="0" customWidth="1"/>
    <x:col min="5" max="5" width="16" hidden="0" customWidth="1"/>
    <x:col min="6" max="6" width="28" hidden="0" customWidth="1"/>
    <x:col min="7" max="7" width="42" hidden="0" customWidth="1"/>
    <x:col min="8" max="8" width="38" hidden="0" customWidth="1"/>
    <x:col min="9" max="9" width="18" hidden="0" customWidth="1"/>
    <x:col min="10" max="10" width="42" hidden="0" customWidth="1"/>
  </x:cols>
  <x:sheetData>
    <x:row r="1">
      <x:c r="A1" s="89" t="str">
        <x:v>CODEX EXECUTION RECORD — MUST BE COMPLETED BEFORE QA RETEST</x:v>
      </x:c>
      <x:c r="B1" s="89"/>
      <x:c r="C1" s="89"/>
      <x:c r="D1" s="89"/>
      <x:c r="E1" s="89"/>
      <x:c r="F1" s="89"/>
      <x:c r="G1" s="89"/>
      <x:c r="H1" s="89"/>
      <x:c r="I1" s="89"/>
      <x:c r="J1" s="89"/>
    </x:row>
    <x:row r="2">
      <x:c r="A2" s="99" t="str">
        <x:v>Codex records actual commands, environment, result and evidence. PASS cannot be copied from source-level fix status.</x:v>
      </x:c>
      <x:c r="B2" s="99"/>
      <x:c r="C2" s="99"/>
      <x:c r="D2" s="99"/>
      <x:c r="E2" s="99"/>
      <x:c r="F2" s="99"/>
      <x:c r="G2" s="99"/>
      <x:c r="H2" s="99"/>
      <x:c r="I2" s="99"/>
      <x:c r="J2" s="99"/>
    </x:row>
    <x:row r="4">
      <x:c r="A4" s="97" t="str">
        <x:v>ID</x:v>
      </x:c>
      <x:c r="B4" s="97" t="str">
        <x:v>Area</x:v>
      </x:c>
      <x:c r="C4" s="97" t="str">
        <x:v>Execution</x:v>
      </x:c>
      <x:c r="D4" s="97" t="str">
        <x:v>Priority</x:v>
      </x:c>
      <x:c r="E4" s="97" t="str">
        <x:v>Status</x:v>
      </x:c>
      <x:c r="F4" s="97" t="str">
        <x:v>Environment</x:v>
      </x:c>
      <x:c r="G4" s="97" t="str">
        <x:v>Command / Method</x:v>
      </x:c>
      <x:c r="H4" s="97" t="str">
        <x:v>Evidence path</x:v>
      </x:c>
      <x:c r="I4" s="97" t="str">
        <x:v>Defect/New issue</x:v>
      </x:c>
      <x:c r="J4" s="97" t="str">
        <x:v>Notes</x:v>
      </x:c>
    </x:row>
    <x:row r="5">
      <x:c r="A5" s="26" t="str">
        <x:v>CX-01</x:v>
      </x:c>
      <x:c r="B5" s="26" t="str">
        <x:v>Static</x:v>
      </x:c>
      <x:c r="C5" s="26" t="str">
        <x:v>Run verify_phase2_rework.py</x:v>
      </x:c>
      <x:c r="D5" s="26" t="str">
        <x:v>P0</x:v>
      </x:c>
      <x:c r="E5" s="26" t="str">
        <x:v>PASS</x:v>
      </x:c>
      <x:c r="F5" s="26" t="str">
        <x:v>Windows / Chrome 153.0.8010.53</x:v>
      </x:c>
      <x:c r="G5" s="26" t="str">
        <x:v>See evidence and reproducible scripts</x:v>
      </x:c>
      <x:c r="H5" s="26" t="str">
        <x:v>evidence/codex/rework_r1_static_checks_final.log</x:v>
      </x:c>
      <x:c r="I5" s="26" t="str"/>
      <x:c r="J5" s="26" t="str">
        <x:v>Execution only; no independent signoff.</x:v>
      </x:c>
    </x:row>
    <x:row r="6">
      <x:c r="A6" s="26" t="str">
        <x:v>CX-02</x:v>
      </x:c>
      <x:c r="B6" s="26" t="str">
        <x:v>Syntax</x:v>
      </x:c>
      <x:c r="C6" s="26" t="str">
        <x:v>node --check prototype/app.js</x:v>
      </x:c>
      <x:c r="D6" s="26" t="str">
        <x:v>P0</x:v>
      </x:c>
      <x:c r="E6" s="26" t="str">
        <x:v>PASS</x:v>
      </x:c>
      <x:c r="F6" s="26" t="str">
        <x:v>Windows / Chrome 153.0.8010.53</x:v>
      </x:c>
      <x:c r="G6" s="26" t="str">
        <x:v>See evidence and reproducible scripts</x:v>
      </x:c>
      <x:c r="H6" s="26" t="str">
        <x:v>evidence/codex/environment.json</x:v>
      </x:c>
      <x:c r="I6" s="26" t="str"/>
      <x:c r="J6" s="26" t="str">
        <x:v>Execution only; no independent signoff.</x:v>
      </x:c>
    </x:row>
    <x:row r="7">
      <x:c r="A7" s="26" t="str">
        <x:v>CX-03</x:v>
      </x:c>
      <x:c r="B7" s="26" t="str">
        <x:v>Browser P0</x:v>
      </x:c>
      <x:c r="C7" s="26" t="str">
        <x:v>D001 correct answer/distractor regression</x:v>
      </x:c>
      <x:c r="D7" s="26" t="str">
        <x:v>P0</x:v>
      </x:c>
      <x:c r="E7" s="26" t="str">
        <x:v>PASS</x:v>
      </x:c>
      <x:c r="F7" s="26" t="str">
        <x:v>Windows / Chrome 153.0.8010.53</x:v>
      </x:c>
      <x:c r="G7" s="26" t="str">
        <x:v>See evidence and reproducible scripts</x:v>
      </x:c>
      <x:c r="H7" s="26" t="str">
        <x:v>evidence/codex/browser/QA-LRN-006.json</x:v>
      </x:c>
      <x:c r="I7" s="26" t="str"/>
      <x:c r="J7" s="26" t="str">
        <x:v>Execution only; no independent signoff.</x:v>
      </x:c>
    </x:row>
    <x:row r="8">
      <x:c r="A8" s="26" t="str">
        <x:v>CX-04</x:v>
      </x:c>
      <x:c r="B8" s="26" t="str">
        <x:v>Browser P0</x:v>
      </x:c>
      <x:c r="C8" s="26" t="str">
        <x:v>D002 blank Review/Transfer/Check cannot progress</x:v>
      </x:c>
      <x:c r="D8" s="26" t="str">
        <x:v>P0</x:v>
      </x:c>
      <x:c r="E8" s="26" t="str">
        <x:v>PASS</x:v>
      </x:c>
      <x:c r="F8" s="26" t="str">
        <x:v>Windows / Chrome 153.0.8010.53</x:v>
      </x:c>
      <x:c r="G8" s="26" t="str">
        <x:v>See evidence and reproducible scripts</x:v>
      </x:c>
      <x:c r="H8" s="26" t="str">
        <x:v>evidence/codex/browser/QA-LRN-021.json</x:v>
      </x:c>
      <x:c r="I8" s="26" t="str"/>
      <x:c r="J8" s="26" t="str">
        <x:v>Execution only; no independent signoff.</x:v>
      </x:c>
    </x:row>
    <x:row r="9">
      <x:c r="A9" s="26" t="str">
        <x:v>CX-05</x:v>
      </x:c>
      <x:c r="B9" s="26" t="str">
        <x:v>Browser P0</x:v>
      </x:c>
      <x:c r="C9" s="26" t="str">
        <x:v>D003 assisted remains assisted</x:v>
      </x:c>
      <x:c r="D9" s="26" t="str">
        <x:v>P0</x:v>
      </x:c>
      <x:c r="E9" s="26" t="str">
        <x:v>PASS</x:v>
      </x:c>
      <x:c r="F9" s="26" t="str">
        <x:v>Windows / Chrome 153.0.8010.53</x:v>
      </x:c>
      <x:c r="G9" s="26" t="str">
        <x:v>See evidence and reproducible scripts</x:v>
      </x:c>
      <x:c r="H9" s="26" t="str">
        <x:v>evidence/codex/browser/QA-LRN-008.json</x:v>
      </x:c>
      <x:c r="I9" s="26" t="str"/>
      <x:c r="J9" s="26" t="str">
        <x:v>Execution only; no independent signoff.</x:v>
      </x:c>
    </x:row>
    <x:row r="10">
      <x:c r="A10" s="26" t="str">
        <x:v>CX-06</x:v>
      </x:c>
      <x:c r="B10" s="26" t="str">
        <x:v>Offline P0</x:v>
      </x:c>
      <x:c r="C10" s="26" t="str">
        <x:v>Queued→online remains queued until server ack</x:v>
      </x:c>
      <x:c r="D10" s="26" t="str">
        <x:v>P0</x:v>
      </x:c>
      <x:c r="E10" s="26" t="str">
        <x:v>PASS</x:v>
      </x:c>
      <x:c r="F10" s="26" t="str">
        <x:v>Windows / Chrome 153.0.8010.53</x:v>
      </x:c>
      <x:c r="G10" s="26" t="str">
        <x:v>See evidence and reproducible scripts</x:v>
      </x:c>
      <x:c r="H10" s="26" t="str">
        <x:v>evidence/codex/browser/QA-OFF-007.json</x:v>
      </x:c>
      <x:c r="I10" s="26" t="str"/>
      <x:c r="J10" s="26" t="str">
        <x:v>Execution only; no independent signoff.</x:v>
      </x:c>
    </x:row>
    <x:row r="11">
      <x:c r="A11" s="26" t="str">
        <x:v>CX-07</x:v>
      </x:c>
      <x:c r="B11" s="26" t="str">
        <x:v>Learner</x:v>
      </x:c>
      <x:c r="C11" s="26" t="str">
        <x:v>First-use + optional placement</x:v>
      </x:c>
      <x:c r="D11" s="26" t="str">
        <x:v>P1</x:v>
      </x:c>
      <x:c r="E11" s="26" t="str">
        <x:v>PASS</x:v>
      </x:c>
      <x:c r="F11" s="26" t="str">
        <x:v>Windows / Chrome 153.0.8010.53</x:v>
      </x:c>
      <x:c r="G11" s="26" t="str">
        <x:v>See evidence and reproducible scripts</x:v>
      </x:c>
      <x:c r="H11" s="26" t="str">
        <x:v>evidence/codex/browser/QA-LRN-016.json</x:v>
      </x:c>
      <x:c r="I11" s="26" t="str"/>
      <x:c r="J11" s="26" t="str">
        <x:v>Execution only; no independent signoff.</x:v>
      </x:c>
    </x:row>
    <x:row r="12">
      <x:c r="A12" s="26" t="str">
        <x:v>CX-08</x:v>
      </x:c>
      <x:c r="B12" s="26" t="str">
        <x:v>Learner</x:v>
      </x:c>
      <x:c r="C12" s="26" t="str">
        <x:v>Representative Grammar flow</x:v>
      </x:c>
      <x:c r="D12" s="26" t="str">
        <x:v>P1</x:v>
      </x:c>
      <x:c r="E12" s="26" t="str">
        <x:v>PASS</x:v>
      </x:c>
      <x:c r="F12" s="26" t="str">
        <x:v>Windows / Chrome 153.0.8010.53</x:v>
      </x:c>
      <x:c r="G12" s="26" t="str">
        <x:v>See evidence and reproducible scripts</x:v>
      </x:c>
      <x:c r="H12" s="26" t="str">
        <x:v>evidence/codex/browser/QA-LRN-022.json</x:v>
      </x:c>
      <x:c r="I12" s="26" t="str"/>
      <x:c r="J12" s="26" t="str">
        <x:v>Execution only; no independent signoff.</x:v>
      </x:c>
    </x:row>
    <x:row r="13">
      <x:c r="A13" s="26" t="str">
        <x:v>CX-09</x:v>
      </x:c>
      <x:c r="B13" s="26" t="str">
        <x:v>Learner</x:v>
      </x:c>
      <x:c r="C13" s="26" t="str">
        <x:v>Representative Listening + media unavailable + Check play cap</x:v>
      </x:c>
      <x:c r="D13" s="26" t="str">
        <x:v>P1</x:v>
      </x:c>
      <x:c r="E13" s="26" t="str">
        <x:v>PASS</x:v>
      </x:c>
      <x:c r="F13" s="26" t="str">
        <x:v>Windows / Chrome 153.0.8010.53</x:v>
      </x:c>
      <x:c r="G13" s="26" t="str">
        <x:v>See evidence and reproducible scripts</x:v>
      </x:c>
      <x:c r="H13" s="26" t="str">
        <x:v>evidence/codex/browser/QA-LRN-023.json</x:v>
      </x:c>
      <x:c r="I13" s="26" t="str"/>
      <x:c r="J13" s="26" t="str">
        <x:v>Execution only; no independent signoff.</x:v>
      </x:c>
    </x:row>
    <x:row r="14">
      <x:c r="A14" s="26" t="str">
        <x:v>CX-10</x:v>
      </x:c>
      <x:c r="B14" s="26" t="str">
        <x:v>Staff</x:v>
      </x:c>
      <x:c r="C14" s="26" t="str">
        <x:v>Full publication lifecycle</x:v>
      </x:c>
      <x:c r="D14" s="26" t="str">
        <x:v>P1</x:v>
      </x:c>
      <x:c r="E14" s="26" t="str">
        <x:v>PASS</x:v>
      </x:c>
      <x:c r="F14" s="26" t="str">
        <x:v>Windows / Chrome 153.0.8010.53</x:v>
      </x:c>
      <x:c r="G14" s="26" t="str">
        <x:v>See evidence and reproducible scripts</x:v>
      </x:c>
      <x:c r="H14" s="26" t="str">
        <x:v>evidence/codex/browser/QA-STF-011.json</x:v>
      </x:c>
      <x:c r="I14" s="26" t="str"/>
      <x:c r="J14" s="26" t="str">
        <x:v>Execution only; no independent signoff.</x:v>
      </x:c>
    </x:row>
    <x:row r="15">
      <x:c r="A15" s="26" t="str">
        <x:v>CX-11</x:v>
      </x:c>
      <x:c r="B15" s="26" t="str">
        <x:v>Accessibility</x:v>
      </x:c>
      <x:c r="C15" s="26" t="str">
        <x:v>Accessible names / keyboard / modal focus restore / targeted live region</x:v>
      </x:c>
      <x:c r="D15" s="26" t="str">
        <x:v>P1</x:v>
      </x:c>
      <x:c r="E15" s="26" t="str">
        <x:v>PASS</x:v>
      </x:c>
      <x:c r="F15" s="26" t="str">
        <x:v>Windows / Chrome 153.0.8010.53</x:v>
      </x:c>
      <x:c r="G15" s="26" t="str">
        <x:v>See evidence and reproducible scripts</x:v>
      </x:c>
      <x:c r="H15" s="26" t="str">
        <x:v>evidence/codex/browser/QA-ACC-013.json</x:v>
      </x:c>
      <x:c r="I15" s="26" t="str"/>
      <x:c r="J15" s="26" t="str">
        <x:v>AX and keyboard PASS. Screen-reader speech session BLOCKED.</x:v>
      </x:c>
    </x:row>
    <x:row r="16">
      <x:c r="A16" s="26" t="str">
        <x:v>CX-12</x:v>
      </x:c>
      <x:c r="B16" s="26" t="str">
        <x:v>Responsive</x:v>
      </x:c>
      <x:c r="C16" s="26" t="str">
        <x:v>200% scaling + learner widths + staff 1024/1440</x:v>
      </x:c>
      <x:c r="D16" s="26" t="str">
        <x:v>P1</x:v>
      </x:c>
      <x:c r="E16" s="26" t="str">
        <x:v>PASS</x:v>
      </x:c>
      <x:c r="F16" s="26" t="str">
        <x:v>Windows / Chrome 153.0.8010.53</x:v>
      </x:c>
      <x:c r="G16" s="26" t="str">
        <x:v>See evidence and reproducible scripts</x:v>
      </x:c>
      <x:c r="H16" s="26" t="str">
        <x:v>evidence/codex/supplemental/run.json</x:v>
      </x:c>
      <x:c r="I16" s="26" t="str"/>
      <x:c r="J16" s="26" t="str">
        <x:v>Execution only; no independent signoff.</x:v>
      </x:c>
    </x:row>
    <x:row r="17">
      <x:c r="A17" s="26" t="str">
        <x:v>CX-13</x:v>
      </x:c>
      <x:c r="B17" s="26" t="str">
        <x:v>QA Suite</x:v>
      </x:c>
      <x:c r="C17" s="26" t="str">
        <x:v>Execute 94-case suite or record exact environment blockers</x:v>
      </x:c>
      <x:c r="D17" s="26" t="str">
        <x:v>P0</x:v>
      </x:c>
      <x:c r="E17" s="26" t="str">
        <x:v>PASS</x:v>
      </x:c>
      <x:c r="F17" s="26" t="str">
        <x:v>Windows / Chrome 153.0.8010.53</x:v>
      </x:c>
      <x:c r="G17" s="26" t="str">
        <x:v>See evidence and reproducible scripts</x:v>
      </x:c>
      <x:c r="H17" s="26" t="str">
        <x:v>evidence/codex/execution_summary.json</x:v>
      </x:c>
      <x:c r="I17" s="26" t="str"/>
      <x:c r="J17" s="26" t="str">
        <x:v>Execution only; no independent signoff.</x:v>
      </x:c>
    </x:row>
    <x:row r="18">
      <x:c r="A18" s="26" t="str">
        <x:v>CX-14</x:v>
      </x:c>
      <x:c r="B18" s="26" t="str">
        <x:v>Packaging</x:v>
      </x:c>
      <x:c r="C18" s="26" t="str">
        <x:v>Generate QA retest ZIP + SHA256 + manifest + filled handoff</x:v>
      </x:c>
      <x:c r="D18" s="26" t="str">
        <x:v>P0</x:v>
      </x:c>
      <x:c r="E18" s="26" t="str">
        <x:v>PENDING</x:v>
      </x:c>
      <x:c r="F18" s="26" t="str"/>
      <x:c r="G18" s="26" t="str"/>
      <x:c r="H18" s="26" t="str">
        <x:v>External ZIP .sha256 / .manifest.json</x:v>
      </x:c>
      <x:c r="I18" s="26" t="str"/>
      <x:c r="J18" s="26" t="str">
        <x:v>Final package integrity recorded in external sidecar after ZIP creation; no self-certifying hash in XLSX.</x:v>
      </x:c>
    </x:row>
  </x:sheetData>
  <x:mergeCells>
    <x:mergeCell ref="A1:J1"/>
    <x:mergeCell ref="A2:J2"/>
  </x:mergeCells>
  <x:dataValidations count="1">
    <x:dataValidation type="list" sqref="E5:E18">
      <x:formula1>"NOT RUN,IN PROGRESS,PASS,FAIL,BLOCKED"</x:formula1>
    </x:dataValidation>
  </x:dataValidations>
  <x:pageMargins left="0.7" right="0.7" top="0.75" bottom="0.75" header="0.3" footer="0.3"/>
</x:worksheet>
</file>