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e451674a6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71587fc3d82f4b61"/>
    <x:sheet xmlns:r="http://schemas.openxmlformats.org/officeDocument/2006/relationships" name="01_Screen_Inventory" sheetId="2" r:id="Rf5069d38dd7e42e6"/>
    <x:sheet xmlns:r="http://schemas.openxmlformats.org/officeDocument/2006/relationships" name="02_State_Catalog" sheetId="3" r:id="Rfbcf3e35b84b4c51"/>
    <x:sheet xmlns:r="http://schemas.openxmlformats.org/officeDocument/2006/relationships" name="03_PRD_Traceability" sheetId="4" r:id="Ra5dad41c6c34487a"/>
    <x:sheet xmlns:r="http://schemas.openxmlformats.org/officeDocument/2006/relationships" name="04_QA_Test_Cases" sheetId="5" r:id="Rc2d5057e977d428e"/>
    <x:sheet xmlns:r="http://schemas.openxmlformats.org/officeDocument/2006/relationships" name="05_QC_Checklist" sheetId="6" r:id="R2030872974384886"/>
    <x:sheet xmlns:r="http://schemas.openxmlformats.org/officeDocument/2006/relationships" name="06_Defect_Log" sheetId="7" r:id="R41986c7cd88a4fde"/>
    <x:sheet xmlns:r="http://schemas.openxmlformats.org/officeDocument/2006/relationships" name="07_Test_Run" sheetId="8" r:id="R35b3063897074324"/>
    <x:sheet xmlns:r="http://schemas.openxmlformats.org/officeDocument/2006/relationships" name="08_Signoff" sheetId="9" r:id="Rb651a9074a5c4074"/>
    <x:sheet xmlns:r="http://schemas.openxmlformats.org/officeDocument/2006/relationships" name="09_Lists" sheetId="10" r:id="R26308d2af00a4a46"/>
    <x:sheet xmlns:r="http://schemas.openxmlformats.org/officeDocument/2006/relationships" name="10_Independent_Audit" sheetId="11" r:id="R3cf8a8088541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F172A"/>
      <x:name val="Carlito"/>
    </x:font>
    <x:font>
      <x:b/>
      <x:sz val="11"/>
      <x:color rgb="FFFFFFFF"/>
      <x:name val="Carlito"/>
    </x:font>
    <x:font>
      <x:b/>
      <x:sz val="11"/>
      <x:color rgb="FF3046C5"/>
      <x:name val="Carlito"/>
    </x:font>
    <x:font>
      <x:b/>
      <x:sz val="11"/>
      <x:color rgb="FFB91C1C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3046C5"/>
      <x:name val="Carlito"/>
    </x:font>
    <x:font>
      <x:b/>
      <x:sz val="10"/>
      <x:color rgb="FFB91C1C"/>
      <x:name val="Carlito"/>
    </x:font>
    <x:font>
      <x:sz val="16"/>
      <x:name val="Carlito"/>
    </x:font>
    <x:font>
      <x:b/>
      <x:sz val="16"/>
      <x:name val="Carlito"/>
    </x:font>
    <x:font>
      <x:b/>
      <x:sz val="11"/>
      <x:color rgb="FF1E3A8A"/>
      <x:name val="Carlito"/>
    </x:font>
    <x:font>
      <x:b/>
      <x:sz val="11"/>
      <x:color rgb="FF991B1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  <x:fill>
      <x:patternFill patternType="solid">
        <x:fgColor rgb="FFFEE2E2"/>
      </x:patternFill>
    </x:fill>
    <x:fill>
      <x:patternFill patternType="solid">
        <x:fgColor rgb="FF0F172A"/>
      </x:patternFill>
    </x:fill>
    <x:fill>
      <x:patternFill patternType="solid">
        <x:fgColor rgb="FFE8ECFF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/>
    <x:xf numFmtId="20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7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3046C5"/>
      </x:font>
      <x:fill>
        <x:patternFill>
          <x:bgColor rgb="FFE8ECFF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0e05e6b044a95" /><Relationship Type="http://schemas.openxmlformats.org/officeDocument/2006/relationships/theme" Target="/xl/theme/theme1.xml" Id="Readc092c09b1478c" /><Relationship Type="http://schemas.openxmlformats.org/officeDocument/2006/relationships/sharedStrings" Target="/xl/sharedStrings.xml" Id="R8cd06e83c5cf454a" /><Relationship Type="http://schemas.openxmlformats.org/officeDocument/2006/relationships/worksheet" Target="/xl/worksheets/sheet1.xml" Id="R71587fc3d82f4b61" /><Relationship Type="http://schemas.openxmlformats.org/officeDocument/2006/relationships/worksheet" Target="/xl/worksheets/sheet2.xml" Id="Rf5069d38dd7e42e6" /><Relationship Type="http://schemas.openxmlformats.org/officeDocument/2006/relationships/worksheet" Target="/xl/worksheets/sheet3.xml" Id="Rfbcf3e35b84b4c51" /><Relationship Type="http://schemas.openxmlformats.org/officeDocument/2006/relationships/worksheet" Target="/xl/worksheets/sheet4.xml" Id="Ra5dad41c6c34487a" /><Relationship Type="http://schemas.openxmlformats.org/officeDocument/2006/relationships/worksheet" Target="/xl/worksheets/sheet5.xml" Id="Rc2d5057e977d428e" /><Relationship Type="http://schemas.openxmlformats.org/officeDocument/2006/relationships/worksheet" Target="/xl/worksheets/sheet6.xml" Id="R2030872974384886" /><Relationship Type="http://schemas.openxmlformats.org/officeDocument/2006/relationships/worksheet" Target="/xl/worksheets/sheet7.xml" Id="R41986c7cd88a4fde" /><Relationship Type="http://schemas.openxmlformats.org/officeDocument/2006/relationships/worksheet" Target="/xl/worksheets/sheet8.xml" Id="R35b3063897074324" /><Relationship Type="http://schemas.openxmlformats.org/officeDocument/2006/relationships/worksheet" Target="/xl/worksheets/sheet9.xml" Id="Rb651a9074a5c4074" /><Relationship Type="http://schemas.openxmlformats.org/officeDocument/2006/relationships/worksheet" Target="/xl/worksheets/sheet10.xml" Id="R26308d2af00a4a46" /><Relationship Type="http://schemas.openxmlformats.org/officeDocument/2006/relationships/worksheet" Target="/xl/worksheets/sheet11.xml" Id="R3cf8a80885414ebf" /></Relationships>
</file>

<file path=xl/tables/table1.xml><?xml version="1.0" encoding="utf-8"?>
<x:table xmlns:x="http://schemas.openxmlformats.org/spreadsheetml/2006/main" id="1" name="ScreenInventoryTable" displayName="ScreenInventoryTable" ref="A4:J61" headerRowCount="1" totalsRowCount="0" totalsRowShown="0">
  <x:tableColumns count="10">
    <x:tableColumn id="1" name="Screen ID"/>
    <x:tableColumn id="2" name="Surface"/>
    <x:tableColumn id="3" name="Area"/>
    <x:tableColumn id="4" name="Name"/>
    <x:tableColumn id="5" name="Route"/>
    <x:tableColumn id="6" name="Purpose"/>
    <x:tableColumn id="7" name="Entry"/>
    <x:tableColumn id="8" name="Actions"/>
    <x:tableColumn id="9" name="Required states"/>
    <x:tableColumn id="10" name="Critical ru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CatalogTable" displayName="StateCatalogTable" ref="A4:D22" headerRowCount="1" totalsRowCount="0" totalsRowShown="0">
  <x:tableColumns count="4">
    <x:tableColumn id="1" name="Component ID"/>
    <x:tableColumn id="2" name="Component"/>
    <x:tableColumn id="3" name="Required states"/>
    <x:tableColumn id="4" name="Invariant / UX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DTraceTable" displayName="PRDTraceTable" ref="A4:E20" headerRowCount="1" totalsRowCount="0" totalsRowShown="0">
  <x:tableColumns count="5">
    <x:tableColumn id="1" name="PRD"/>
    <x:tableColumn id="2" name="Requirement"/>
    <x:tableColumn id="3" name="Screens"/>
    <x:tableColumn id="4" name="Components"/>
    <x:tableColumn id="5" name="QA cas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estCasesTable" displayName="QATestCasesTable" ref="A4:N91" headerRowCount="1" totalsRowCount="0" totalsRowShown="0">
  <x:tableColumns count="14">
    <x:tableColumn id="1" name="Test ID"/>
    <x:tableColumn id="2" name="Type"/>
    <x:tableColumn id="3" name="Area"/>
    <x:tableColumn id="4" name="Priority"/>
    <x:tableColumn id="5" name="Requirement"/>
    <x:tableColumn id="6" name="Title"/>
    <x:tableColumn id="7" name="Precondition"/>
    <x:tableColumn id="8" name="Steps"/>
    <x:tableColumn id="9" name="Expected"/>
    <x:tableColumn id="10" name="Owner"/>
    <x:tableColumn id="11" name="Status"/>
    <x:tableColumn id="12" name="Evidence"/>
    <x:tableColumn id="13" name="Defect"/>
    <x:tableColumn id="14" name="Retes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b1bba124244f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66398062904a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92df69849e42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7bf3f44d59410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4" max="4" width="26" hidden="0" customWidth="1"/>
    <x:col min="5" max="5" width="16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MINGO — PHASE 2 UX/UI QA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Design candidate complete; ready for QC/QA. Gate stays NOT PASSED until exit criteria and signoff.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Candidate KPI</x:v>
      </x:c>
      <x:c r="B4" s="46" t="str">
        <x:v>Value</x:v>
      </x:c>
      <x:c r="C4" s="45"/>
      <x:c r="D4" s="46" t="str">
        <x:v>Live test metric</x:v>
      </x:c>
      <x:c r="E4" s="46" t="str">
        <x:v>Value</x:v>
      </x:c>
      <x:c r="F4" s="45"/>
      <x:c r="G4" s="46" t="str">
        <x:v>Exit criterion</x:v>
      </x:c>
      <x:c r="H4" s="46" t="str">
        <x:v>Required</x:v>
      </x:c>
      <x:c r="I4" s="46" t="str">
        <x:v>Current</x:v>
      </x:c>
      <x:c r="J4" s="46" t="str">
        <x:v>Owner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Phase status</x:v>
      </x:c>
      <x:c r="B5" s="48" t="str">
        <x:v>ACTIVE — DESIGN COMPLETE / READY FOR QC/QA</x:v>
      </x:c>
      <x:c r="C5" s="45"/>
      <x:c r="D5" s="47" t="str">
        <x:v>Total cases</x:v>
      </x:c>
      <x:c r="E5" s="47" t="n">
        <x:f>COUNTA('04_QA_Test_Cases'!A5:A250)</x:f>
        <x:v>94</x:v>
      </x:c>
      <x:c r="F5" s="45"/>
      <x:c r="G5" s="47" t="str">
        <x:v>All P0 test cases pass</x:v>
      </x:c>
      <x:c r="H5" s="47" t="str">
        <x:v>100%</x:v>
      </x:c>
      <x:c r="I5" s="47" t="str">
        <x:v>PENDING</x:v>
      </x:c>
      <x:c r="J5" s="47" t="str">
        <x:v>QA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Gate</x:v>
      </x:c>
      <x:c r="B6" s="49" t="str">
        <x:v>NOT PASSED</x:v>
      </x:c>
      <x:c r="C6" s="45"/>
      <x:c r="D6" s="47" t="str">
        <x:v>P0 cases</x:v>
      </x:c>
      <x:c r="E6" s="47" t="n">
        <x:f>COUNTIF('04_QA_Test_Cases'!D5:D250,"P0")</x:f>
        <x:v>44</x:v>
      </x:c>
      <x:c r="F6" s="45"/>
      <x:c r="G6" s="47" t="str">
        <x:v>All P0/P1 defects closed</x:v>
      </x:c>
      <x:c r="H6" s="47" t="str">
        <x:v>0 open</x:v>
      </x:c>
      <x:c r="I6" s="47" t="str">
        <x:v>PENDING</x:v>
      </x:c>
      <x:c r="J6" s="47" t="str">
        <x:v>QA/Tech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Screens</x:v>
      </x:c>
      <x:c r="B7" s="47" t="n">
        <x:v>57</x:v>
      </x:c>
      <x:c r="C7" s="45"/>
      <x:c r="D7" s="47" t="str">
        <x:v>PASS</x:v>
      </x:c>
      <x:c r="E7" s="47" t="n">
        <x:f>COUNTIF('04_QA_Test_Cases'!K5:K250,"PASS")</x:f>
        <x:v>10</x:v>
      </x:c>
      <x:c r="F7" s="45"/>
      <x:c r="G7" s="47" t="str">
        <x:v>Overall executed pass rate</x:v>
      </x:c>
      <x:c r="H7" s="47" t="str">
        <x:v>≥95%</x:v>
      </x:c>
      <x:c r="I7" s="47" t="str">
        <x:v>PENDING</x:v>
      </x:c>
      <x:c r="J7" s="47" t="str">
        <x:v>QA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Shared components</x:v>
      </x:c>
      <x:c r="B8" s="47" t="n">
        <x:v>18</x:v>
      </x:c>
      <x:c r="C8" s="45"/>
      <x:c r="D8" s="47" t="str">
        <x:v>FAIL</x:v>
      </x:c>
      <x:c r="E8" s="47" t="n">
        <x:f>COUNTIF('04_QA_Test_Cases'!K5:K250,"FAIL")</x:f>
        <x:v>10</x:v>
      </x:c>
      <x:c r="F8" s="45"/>
      <x:c r="G8" s="47" t="str">
        <x:v>PRD traceability</x:v>
      </x:c>
      <x:c r="H8" s="47" t="str">
        <x:v>16/16</x:v>
      </x:c>
      <x:c r="I8" s="47" t="str">
        <x:v>READY</x:v>
      </x:c>
      <x:c r="J8" s="47" t="str">
        <x:v>QC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 traceability</x:v>
      </x:c>
      <x:c r="B9" s="47" t="n">
        <x:v>16</x:v>
      </x:c>
      <x:c r="C9" s="45"/>
      <x:c r="D9" s="47" t="str">
        <x:v>BLOCKED</x:v>
      </x:c>
      <x:c r="E9" s="47" t="n">
        <x:f>COUNTIF('04_QA_Test_Cases'!K5:K250,"BLOCKED")</x:f>
        <x:v>7</x:v>
      </x:c>
      <x:c r="F9" s="45"/>
      <x:c r="G9" s="47" t="str">
        <x:v>Accessibility mandatory checks</x:v>
      </x:c>
      <x:c r="H9" s="47" t="str">
        <x:v>PASS</x:v>
      </x:c>
      <x:c r="I9" s="47" t="str">
        <x:v>PENDING</x:v>
      </x:c>
      <x:c r="J9" s="47" t="str">
        <x:v>QA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Prepared QC/QA cases</x:v>
      </x:c>
      <x:c r="B10" s="47" t="n">
        <x:v>87</x:v>
      </x:c>
      <x:c r="C10" s="45"/>
      <x:c r="D10" s="47" t="str">
        <x:v>NOT RUN</x:v>
      </x:c>
      <x:c r="E10" s="47" t="n">
        <x:f>COUNTIF('04_QA_Test_Cases'!K5:K250,"NOT RUN")</x:f>
        <x:v>67</x:v>
      </x:c>
      <x:c r="F10" s="45"/>
      <x:c r="G10" s="47" t="str">
        <x:v>Developer handoff</x:v>
      </x:c>
      <x:c r="H10" s="47" t="str">
        <x:v>ACCEPTED</x:v>
      </x:c>
      <x:c r="I10" s="47" t="str">
        <x:v>PENDING</x:v>
      </x:c>
      <x:c r="J10" s="47" t="str">
        <x:v>Tech Lead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Architecture baseline</x:v>
      </x:c>
      <x:c r="B11" s="47" t="str">
        <x:v>V3.2.0 — unchanged</x:v>
      </x:c>
      <x:c r="C11" s="45"/>
      <x:c r="D11" s="47" t="str">
        <x:v>Open P0/P1 defects</x:v>
      </x:c>
      <x:c r="E11" s="47" t="n">
        <x:f>COUNTIFS('06_Defect_Log'!F5:F200,"&lt;&gt;CLOSED",'06_Defect_Log'!E5:E200,"P0")+COUNTIFS('06_Defect_Log'!F5:F200,"&lt;&gt;CLOSED",'06_Defect_Log'!E5:E200,"P1")</x:f>
        <x:v>14</x:v>
      </x:c>
      <x:c r="F11" s="45"/>
      <x:c r="G11" s="47" t="str">
        <x:v>Product/Owner signoff</x:v>
      </x:c>
      <x:c r="H11" s="47" t="str">
        <x:v>SIGNED</x:v>
      </x:c>
      <x:c r="I11" s="47" t="str">
        <x:v>PENDING</x:v>
      </x:c>
      <x:c r="J11" s="47" t="str">
        <x:v>Owner/Product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Phase 3</x:v>
      </x:c>
      <x:c r="B12" s="47" t="str">
        <x:v>DEFERRED</x:v>
      </x:c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77" t="str">
        <x:v>Independent audit note</x:v>
      </x:c>
      <x:c r="B14" s="77" t="str">
        <x:v>This copy contains QC/QA findings logged 2026-09-27. See 10_Independent_Audit and 06_Defect_Log.</x:v>
      </x:c>
      <x:c r="C14" s="77" t="str"/>
      <x:c r="D14" s="77" t="str"/>
      <x:c r="E14" s="77" t="str"/>
      <x:c r="F14" s="77" t="str"/>
      <x:c r="G14" s="77" t="str"/>
      <x:c r="H14" s="77" t="str"/>
      <x:c r="I14" s="77" t="str"/>
      <x:c r="J14" s="77" t="str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77" t="str">
        <x:v>Gate decision</x:v>
      </x:c>
      <x:c r="B15" s="77" t="str">
        <x:v>NOT PASSED — REWORK REQUIRED</x:v>
      </x:c>
      <x:c r="C15" s="77" t="str"/>
      <x:c r="D15" s="77" t="str"/>
      <x:c r="E15" s="77" t="str"/>
      <x:c r="F15" s="77" t="str"/>
      <x:c r="G15" s="77" t="str"/>
      <x:c r="H15" s="77" t="str"/>
      <x:c r="I15" s="77" t="str"/>
      <x:c r="J15" s="77" t="str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I5:I11">
    <x:cfRule type="expression" dxfId="0" priority="1">
      <x:formula>$I5="PASS"</x:formula>
    </x:cfRule>
    <x:cfRule type="expression" dxfId="1" priority="2">
      <x:formula>$I5="DONE"</x:formula>
    </x:cfRule>
    <x:cfRule type="expression" dxfId="2" priority="3">
      <x:formula>$I5="SIGNED"</x:formula>
    </x:cfRule>
    <x:cfRule type="expression" dxfId="3" priority="4">
      <x:formula>$I5="ACCEPTED"</x:formula>
    </x:cfRule>
    <x:cfRule type="expression" dxfId="4" priority="5">
      <x:formula>$I5="FAIL"</x:formula>
    </x:cfRule>
    <x:cfRule type="expression" dxfId="5" priority="6">
      <x:formula>$I5="BLOCKED"</x:formula>
    </x:cfRule>
    <x:cfRule type="expression" dxfId="6" priority="7">
      <x:formula>$I5="NOT PASSED"</x:formula>
    </x:cfRule>
    <x:cfRule type="expression" dxfId="7" priority="8">
      <x:formula>$I5="NOT RUN"</x:formula>
    </x:cfRule>
    <x:cfRule type="expression" dxfId="8" priority="9">
      <x:formula>$I5="PENDING"</x:formula>
    </x:cfRule>
    <x:cfRule type="expression" dxfId="9" priority="10">
      <x:formula>$I5="IN PROGRESS"</x:formula>
    </x:cfRule>
    <x:cfRule type="expression" dxfId="10" priority="11">
      <x:formula>$I5="READY"</x:formula>
    </x:cfRule>
    <x:cfRule type="expression" dxfId="11" priority="12">
      <x:formula>$I5="DEFERRED"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32" hidden="0" customWidth="1"/>
    <x:col min="6" max="6" width="52" hidden="0" customWidth="1"/>
    <x:col min="7" max="7" width="30" hidden="0" customWidth="1"/>
    <x:col min="8" max="8" width="42" hidden="0" customWidth="1"/>
    <x:col min="9" max="9" width="42" hidden="0" customWidth="1"/>
    <x:col min="10" max="10" width="58" hidden="0" customWidth="1"/>
  </x:cols>
  <x:sheetData>
    <x:row r="1" ht="28" customHeight="1">
      <x:c r="A1" s="4" t="str">
        <x:v>PHASE 2 SCREEN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Canonical screen IDs/routes for learner and staff.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Screen ID</x:v>
      </x:c>
      <x:c r="B4" s="46" t="str">
        <x:v>Surface</x:v>
      </x:c>
      <x:c r="C4" s="46" t="str">
        <x:v>Area</x:v>
      </x:c>
      <x:c r="D4" s="46" t="str">
        <x:v>Name</x:v>
      </x:c>
      <x:c r="E4" s="46" t="str">
        <x:v>Route</x:v>
      </x:c>
      <x:c r="F4" s="46" t="str">
        <x:v>Purpose</x:v>
      </x:c>
      <x:c r="G4" s="46" t="str">
        <x:v>Entry</x:v>
      </x:c>
      <x:c r="H4" s="46" t="str">
        <x:v>Actions</x:v>
      </x:c>
      <x:c r="I4" s="46" t="str">
        <x:v>Required states</x:v>
      </x:c>
      <x:c r="J4" s="46" t="str">
        <x:v>Critical rules</x:v>
      </x:c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L-001</x:v>
      </x:c>
      <x:c r="B5" s="47" t="str">
        <x:v>Learner</x:v>
      </x:c>
      <x:c r="C5" s="47" t="str">
        <x:v>Entry</x:v>
      </x:c>
      <x:c r="D5" s="47" t="str">
        <x:v>Launch</x:v>
      </x:c>
      <x:c r="E5" s="47" t="str">
        <x:v>/launch</x:v>
      </x:c>
      <x:c r="F5" s="47" t="str">
        <x:v>App launch and bootstrap handoff</x:v>
      </x:c>
      <x:c r="G5" s="47" t="str">
        <x:v>App start</x:v>
      </x:c>
      <x:c r="H5" s="47" t="str">
        <x:v>Continue automatically</x:v>
      </x:c>
      <x:c r="I5" s="47" t="str">
        <x:v>Loading, error, offline bootstrap</x:v>
      </x:c>
      <x:c r="J5" s="47" t="str">
        <x:v>No business decision performed here</x:v>
      </x:c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L-002</x:v>
      </x:c>
      <x:c r="B6" s="47" t="str">
        <x:v>Learner</x:v>
      </x:c>
      <x:c r="C6" s="47" t="str">
        <x:v>Onboarding</x:v>
      </x:c>
      <x:c r="D6" s="47" t="str">
        <x:v>Welcome</x:v>
      </x:c>
      <x:c r="E6" s="47" t="str">
        <x:v>/welcome</x:v>
      </x:c>
      <x:c r="F6" s="47" t="str">
        <x:v>Explain Mingo promise and let learner start</x:v>
      </x:c>
      <x:c r="G6" s="47" t="str">
        <x:v>First use</x:v>
      </x:c>
      <x:c r="H6" s="47" t="str">
        <x:v>Start learning</x:v>
      </x:c>
      <x:c r="I6" s="47" t="str">
        <x:v>Default, loading</x:v>
      </x:c>
      <x:c r="J6" s="47" t="str">
        <x:v>No efficacy/mastery claim</x:v>
      </x:c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L-003</x:v>
      </x:c>
      <x:c r="B7" s="47" t="str">
        <x:v>Learner</x:v>
      </x:c>
      <x:c r="C7" s="47" t="str">
        <x:v>Onboarding</x:v>
      </x:c>
      <x:c r="D7" s="47" t="str">
        <x:v>Goal</x:v>
      </x:c>
      <x:c r="E7" s="47" t="str">
        <x:v>/onboarding/goal</x:v>
      </x:c>
      <x:c r="F7" s="47" t="str">
        <x:v>Optional learner goal selection</x:v>
      </x:c>
      <x:c r="G7" s="47" t="str">
        <x:v>Welcome</x:v>
      </x:c>
      <x:c r="H7" s="47" t="str">
        <x:v>Continue / Skip for now</x:v>
      </x:c>
      <x:c r="I7" s="47" t="str">
        <x:v>Default, selected, error</x:v>
      </x:c>
      <x:c r="J7" s="47" t="str">
        <x:v>Goal cannot rewrite measured skill</x:v>
      </x:c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L-004</x:v>
      </x:c>
      <x:c r="B8" s="47" t="str">
        <x:v>Learner</x:v>
      </x:c>
      <x:c r="C8" s="47" t="str">
        <x:v>Onboarding</x:v>
      </x:c>
      <x:c r="D8" s="47" t="str">
        <x:v>Placement Offer</x:v>
      </x:c>
      <x:c r="E8" s="47" t="str">
        <x:v>/onboarding/placement</x:v>
      </x:c>
      <x:c r="F8" s="47" t="str">
        <x:v>Offer short optional placement</x:v>
      </x:c>
      <x:c r="G8" s="47" t="str">
        <x:v>Goal</x:v>
      </x:c>
      <x:c r="H8" s="47" t="str">
        <x:v>Take placement / Start without it</x:v>
      </x:c>
      <x:c r="I8" s="47" t="str">
        <x:v>Default, unavailable</x:v>
      </x:c>
      <x:c r="J8" s="47" t="str">
        <x:v>Placement optional; missing evidence allowed</x:v>
      </x:c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L-005</x:v>
      </x:c>
      <x:c r="B9" s="47" t="str">
        <x:v>Learner</x:v>
      </x:c>
      <x:c r="C9" s="47" t="str">
        <x:v>Onboarding</x:v>
      </x:c>
      <x:c r="D9" s="47" t="str">
        <x:v>Placement Question</x:v>
      </x:c>
      <x:c r="E9" s="47" t="str">
        <x:v>/placement/:step</x:v>
      </x:c>
      <x:c r="F9" s="47" t="str">
        <x:v>Run provisional Vocabulary/Grammar/Listening item</x:v>
      </x:c>
      <x:c r="G9" s="47" t="str">
        <x:v>Placement offer</x:v>
      </x:c>
      <x:c r="H9" s="47" t="str">
        <x:v>Submit / Skip domain where allowed</x:v>
      </x:c>
      <x:c r="I9" s="47" t="str">
        <x:v>Ready, selected, submitting, feedback, audio unavailable</x:v>
      </x:c>
      <x:c r="J9" s="47" t="str">
        <x:v>No certified CEFR claim; server authoritative later</x:v>
      </x:c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L-006</x:v>
      </x:c>
      <x:c r="B10" s="47" t="str">
        <x:v>Learner</x:v>
      </x:c>
      <x:c r="C10" s="47" t="str">
        <x:v>Onboarding</x:v>
      </x:c>
      <x:c r="D10" s="47" t="str">
        <x:v>Placement Result</x:v>
      </x:c>
      <x:c r="E10" s="47" t="str">
        <x:v>/placement/result</x:v>
      </x:c>
      <x:c r="F10" s="47" t="str">
        <x:v>Show provisional starting state and uncertainty</x:v>
      </x:c>
      <x:c r="G10" s="47" t="str">
        <x:v>Placement finish</x:v>
      </x:c>
      <x:c r="H10" s="47" t="str">
        <x:v>Go to Home</x:v>
      </x:c>
      <x:c r="I10" s="47" t="str">
        <x:v>Complete, insufficient-evidence</x:v>
      </x:c>
      <x:c r="J10" s="47" t="str">
        <x:v>Qualitative/provisional language only</x:v>
      </x:c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L-010</x:v>
      </x:c>
      <x:c r="B11" s="47" t="str">
        <x:v>Learner</x:v>
      </x:c>
      <x:c r="C11" s="47" t="str">
        <x:v>Main</x:v>
      </x:c>
      <x:c r="D11" s="47" t="str">
        <x:v>Home</x:v>
      </x:c>
      <x:c r="E11" s="47" t="str">
        <x:v>/home</x:v>
      </x:c>
      <x:c r="F11" s="47" t="str">
        <x:v>Answer what to do next and why</x:v>
      </x:c>
      <x:c r="G11" s="47" t="str">
        <x:v>Main shell</x:v>
      </x:c>
      <x:c r="H11" s="47" t="str">
        <x:v>Start/resume cycle</x:v>
      </x:c>
      <x:c r="I11" s="47" t="str">
        <x:v>Online, offline, syncing, nothing-due, recommendation-unavailable</x:v>
      </x:c>
      <x:c r="J11" s="47" t="str">
        <x:v>Reason copy must match logged reason; no risk/mastery percentage</x:v>
      </x:c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L-011</x:v>
      </x:c>
      <x:c r="B12" s="47" t="str">
        <x:v>Learner</x:v>
      </x:c>
      <x:c r="C12" s="47" t="str">
        <x:v>System</x:v>
      </x:c>
      <x:c r="D12" s="47" t="str">
        <x:v>Home Offline</x:v>
      </x:c>
      <x:c r="E12" s="47" t="str">
        <x:v>/home?offline=1</x:v>
      </x:c>
      <x:c r="F12" s="47" t="str">
        <x:v>Home with offline status and device-saved distinction</x:v>
      </x:c>
      <x:c r="G12" s="47" t="str">
        <x:v>Connectivity loss</x:v>
      </x:c>
      <x:c r="H12" s="47" t="str">
        <x:v>Continue available offline work</x:v>
      </x:c>
      <x:c r="I12" s="47" t="str">
        <x:v>Offline, queued</x:v>
      </x:c>
      <x:c r="J12" s="47" t="str">
        <x:v>Queued is not server-confirmed</x:v>
      </x:c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L-012</x:v>
      </x:c>
      <x:c r="B13" s="47" t="str">
        <x:v>Learner</x:v>
      </x:c>
      <x:c r="C13" s="47" t="str">
        <x:v>System</x:v>
      </x:c>
      <x:c r="D13" s="47" t="str">
        <x:v>Home Syncing</x:v>
      </x:c>
      <x:c r="E13" s="47" t="str">
        <x:v>/home?syncing=1</x:v>
      </x:c>
      <x:c r="F13" s="47" t="str">
        <x:v>Show background synchronization without blocking navigation</x:v>
      </x:c>
      <x:c r="G13" s="47" t="str">
        <x:v>Connectivity restore</x:v>
      </x:c>
      <x:c r="H13" s="47" t="str">
        <x:v>View sync status</x:v>
      </x:c>
      <x:c r="I13" s="47" t="str">
        <x:v>Syncing, partial</x:v>
      </x:c>
      <x:c r="J13" s="47" t="str">
        <x:v>No duplicate progress/reward from retries</x:v>
      </x:c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L-020</x:v>
      </x:c>
      <x:c r="B14" s="47" t="str">
        <x:v>Learner</x:v>
      </x:c>
      <x:c r="C14" s="47" t="str">
        <x:v>Main</x:v>
      </x:c>
      <x:c r="D14" s="47" t="str">
        <x:v>Learn Hub</x:v>
      </x:c>
      <x:c r="E14" s="47" t="str">
        <x:v>/learn</x:v>
      </x:c>
      <x:c r="F14" s="47" t="str">
        <x:v>Start or resume finite learning cycle</x:v>
      </x:c>
      <x:c r="G14" s="47" t="str">
        <x:v>Learn tab</x:v>
      </x:c>
      <x:c r="H14" s="47" t="str">
        <x:v>Start / Resume</x:v>
      </x:c>
      <x:c r="I14" s="47" t="str">
        <x:v>Ready, resume, content-gap</x:v>
      </x:c>
      <x:c r="J14" s="47" t="str">
        <x:v>No infinite feed</x:v>
      </x:c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L-021</x:v>
      </x:c>
      <x:c r="B15" s="47" t="str">
        <x:v>Learner</x:v>
      </x:c>
      <x:c r="C15" s="47" t="str">
        <x:v>Learning</x:v>
      </x:c>
      <x:c r="D15" s="47" t="str">
        <x:v>Cycle Intro</x:v>
      </x:c>
      <x:c r="E15" s="47" t="str">
        <x:v>/learn/cycle/intro</x:v>
      </x:c>
      <x:c r="F15" s="47" t="str">
        <x:v>Show objective, reason and approximate duration</x:v>
      </x:c>
      <x:c r="G15" s="47" t="str">
        <x:v>Cycle selected</x:v>
      </x:c>
      <x:c r="H15" s="47" t="str">
        <x:v>Begin cycle</x:v>
      </x:c>
      <x:c r="I15" s="47" t="str">
        <x:v>Ready, offline-capable, content-unavailable</x:v>
      </x:c>
      <x:c r="J15" s="47" t="str">
        <x:v>~5 min is configurable hypothesis; objective/reason explicit</x:v>
      </x:c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L-022</x:v>
      </x:c>
      <x:c r="B16" s="47" t="str">
        <x:v>Learner</x:v>
      </x:c>
      <x:c r="C16" s="47" t="str">
        <x:v>Learning</x:v>
      </x:c>
      <x:c r="D16" s="47" t="str">
        <x:v>Review Item</x:v>
      </x:c>
      <x:c r="E16" s="47" t="str">
        <x:v>/learn/cycle/review</x:v>
      </x:c>
      <x:c r="F16" s="47" t="str">
        <x:v>Due/prerequisite review within bounded cycle</x:v>
      </x:c>
      <x:c r="G16" s="47" t="str">
        <x:v>Cycle start</x:v>
      </x:c>
      <x:c r="H16" s="47" t="str">
        <x:v>Answer / Skip</x:v>
      </x:c>
      <x:c r="I16" s="47" t="str">
        <x:v>Ready, selected, submitting, feedback, skipped</x:v>
      </x:c>
      <x:c r="J16" s="47" t="str">
        <x:v>At most one justified due/prerequisite insertion in default policy hypothesis</x:v>
      </x:c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L-023</x:v>
      </x:c>
      <x:c r="B17" s="47" t="str">
        <x:v>Learner</x:v>
      </x:c>
      <x:c r="C17" s="47" t="str">
        <x:v>Learning</x:v>
      </x:c>
      <x:c r="D17" s="47" t="str">
        <x:v>Learn Content</x:v>
      </x:c>
      <x:c r="E17" s="47" t="str">
        <x:v>/learn/cycle/learn</x:v>
      </x:c>
      <x:c r="F17" s="47" t="str">
        <x:v>Short explanation/example/audio/context</x:v>
      </x:c>
      <x:c r="G17" s="47" t="str">
        <x:v>Review or cycle start</x:v>
      </x:c>
      <x:c r="H17" s="47" t="str">
        <x:v>Continue</x:v>
      </x:c>
      <x:c r="I17" s="47" t="str">
        <x:v>Ready, audio-loading, audio-unavailable</x:v>
      </x:c>
      <x:c r="J17" s="47" t="str">
        <x:v>Reading explanation alone is not mastery</x:v>
      </x:c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L-024</x:v>
      </x:c>
      <x:c r="B18" s="47" t="str">
        <x:v>Learner</x:v>
      </x:c>
      <x:c r="C18" s="47" t="str">
        <x:v>Learning</x:v>
      </x:c>
      <x:c r="D18" s="47" t="str">
        <x:v>Retrieve Item</x:v>
      </x:c>
      <x:c r="E18" s="47" t="str">
        <x:v>/learn/cycle/retrieve</x:v>
      </x:c>
      <x:c r="F18" s="47" t="str">
        <x:v>Unaided retrieval attempt</x:v>
      </x:c>
      <x:c r="G18" s="47" t="str">
        <x:v>Learn</x:v>
      </x:c>
      <x:c r="H18" s="47" t="str">
        <x:v>Submit / Hint / Skip</x:v>
      </x:c>
      <x:c r="I18" s="47" t="str">
        <x:v>Ready, hinted, selected, submitting, correct, incorrect, retry</x:v>
      </x:c>
      <x:c r="J18" s="47" t="str">
        <x:v>First response preserved; assisted != unaided</x:v>
      </x:c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L-025</x:v>
      </x:c>
      <x:c r="B19" s="47" t="str">
        <x:v>Learner</x:v>
      </x:c>
      <x:c r="C19" s="47" t="str">
        <x:v>Learning</x:v>
      </x:c>
      <x:c r="D19" s="47" t="str">
        <x:v>Transfer Item</x:v>
      </x:c>
      <x:c r="E19" s="47" t="str">
        <x:v>/learn/cycle/transfer</x:v>
      </x:c>
      <x:c r="F19" s="47" t="str">
        <x:v>Change cue/context/modality within objective</x:v>
      </x:c>
      <x:c r="G19" s="47" t="str">
        <x:v>Retrieve</x:v>
      </x:c>
      <x:c r="H19" s="47" t="str">
        <x:v>Submit / Skip</x:v>
      </x:c>
      <x:c r="I19" s="47" t="str">
        <x:v>Ready, selected, feedback</x:v>
      </x:c>
      <x:c r="J19" s="47" t="str">
        <x:v>Transfer != challenge; no automatic level change</x:v>
      </x:c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L-026</x:v>
      </x:c>
      <x:c r="B20" s="47" t="str">
        <x:v>Learner</x:v>
      </x:c>
      <x:c r="C20" s="47" t="str">
        <x:v>Learning</x:v>
      </x:c>
      <x:c r="D20" s="47" t="str">
        <x:v>Check Intro</x:v>
      </x:c>
      <x:c r="E20" s="47" t="str">
        <x:v>/learn/cycle/check-intro</x:v>
      </x:c>
      <x:c r="F20" s="47" t="str">
        <x:v>Explain independent Check context</x:v>
      </x:c>
      <x:c r="G20" s="47" t="str">
        <x:v>Transfer</x:v>
      </x:c>
      <x:c r="H20" s="47" t="str">
        <x:v>Start Check</x:v>
      </x:c>
      <x:c r="I20" s="47" t="str">
        <x:v>Ready</x:v>
      </x:c>
      <x:c r="J20" s="47" t="str">
        <x:v>No pre-submit hint in Check</x:v>
      </x:c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L-027</x:v>
      </x:c>
      <x:c r="B21" s="47" t="str">
        <x:v>Learner</x:v>
      </x:c>
      <x:c r="C21" s="47" t="str">
        <x:v>Learning</x:v>
      </x:c>
      <x:c r="D21" s="47" t="str">
        <x:v>Check Item</x:v>
      </x:c>
      <x:c r="E21" s="47" t="str">
        <x:v>/learn/cycle/check</x:v>
      </x:c>
      <x:c r="F21" s="47" t="str">
        <x:v>Independent assessment item</x:v>
      </x:c>
      <x:c r="G21" s="47" t="str">
        <x:v>Check intro</x:v>
      </x:c>
      <x:c r="H21" s="47" t="str">
        <x:v>Submit</x:v>
      </x:c>
      <x:c r="I21" s="47" t="str">
        <x:v>Ready, selected, submitting, result, audio-policy</x:v>
      </x:c>
      <x:c r="J21" s="47" t="str">
        <x:v>No hint before submit; listening condition recorded; client replay telemetry not score authority</x:v>
      </x:c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L-028</x:v>
      </x:c>
      <x:c r="B22" s="47" t="str">
        <x:v>Learner</x:v>
      </x:c>
      <x:c r="C22" s="47" t="str">
        <x:v>Learning</x:v>
      </x:c>
      <x:c r="D22" s="47" t="str">
        <x:v>Correct Feedback</x:v>
      </x:c>
      <x:c r="E22" s="47" t="str">
        <x:v>/learn/feedback/correct</x:v>
      </x:c>
      <x:c r="F22" s="47" t="str">
        <x:v>Give concise explanatory positive feedback</x:v>
      </x:c>
      <x:c r="G22" s="47" t="str">
        <x:v>Correct response</x:v>
      </x:c>
      <x:c r="H22" s="47" t="str">
        <x:v>Continue</x:v>
      </x:c>
      <x:c r="I22" s="47" t="str">
        <x:v>Default</x:v>
      </x:c>
      <x:c r="J22" s="47" t="str">
        <x:v>Reward/copy cannot imply validated mastery from one answer</x:v>
      </x:c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L-029</x:v>
      </x:c>
      <x:c r="B23" s="47" t="str">
        <x:v>Learner</x:v>
      </x:c>
      <x:c r="C23" s="47" t="str">
        <x:v>Learning</x:v>
      </x:c>
      <x:c r="D23" s="47" t="str">
        <x:v>Incorrect / Retry Feedback</x:v>
      </x:c>
      <x:c r="E23" s="47" t="str">
        <x:v>/learn/feedback/retry</x:v>
      </x:c>
      <x:c r="F23" s="47" t="str">
        <x:v>Explain error and offer practice retry where policy allows</x:v>
      </x:c>
      <x:c r="G23" s="47" t="str">
        <x:v>Wrong practice response</x:v>
      </x:c>
      <x:c r="H23" s="47" t="str">
        <x:v>Try again / Continue</x:v>
      </x:c>
      <x:c r="I23" s="47" t="str">
        <x:v>Retry available, retry used, retry exhausted</x:v>
      </x:c>
      <x:c r="J23" s="47" t="str">
        <x:v>Retry correct never overwrites first wrong</x:v>
      </x:c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L-030</x:v>
      </x:c>
      <x:c r="B24" s="47" t="str">
        <x:v>Learner</x:v>
      </x:c>
      <x:c r="C24" s="47" t="str">
        <x:v>Overlay</x:v>
      </x:c>
      <x:c r="D24" s="47" t="str">
        <x:v>Hint Panel</x:v>
      </x:c>
      <x:c r="E24" s="47" t="str">
        <x:v>/learn/hint</x:v>
      </x:c>
      <x:c r="F24" s="47" t="str">
        <x:v>Provide typed assistance in practice</x:v>
      </x:c>
      <x:c r="G24" s="47" t="str">
        <x:v>Hint request</x:v>
      </x:c>
      <x:c r="H24" s="47" t="str">
        <x:v>Use hint / Close</x:v>
      </x:c>
      <x:c r="I24" s="47" t="str">
        <x:v>Default, unavailable</x:v>
      </x:c>
      <x:c r="J24" s="47" t="str">
        <x:v>Hint use marks evidence assisted</x:v>
      </x:c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L-031</x:v>
      </x:c>
      <x:c r="B25" s="47" t="str">
        <x:v>Learner</x:v>
      </x:c>
      <x:c r="C25" s="47" t="str">
        <x:v>Overlay</x:v>
      </x:c>
      <x:c r="D25" s="47" t="str">
        <x:v>Skip Confirmation</x:v>
      </x:c>
      <x:c r="E25" s="47" t="str">
        <x:v>/learn/skip</x:v>
      </x:c>
      <x:c r="F25" s="47" t="str">
        <x:v>Confirm skip without shame or false completion</x:v>
      </x:c>
      <x:c r="G25" s="47" t="str">
        <x:v>Skip request</x:v>
      </x:c>
      <x:c r="H25" s="47" t="str">
        <x:v>Skip for now / Keep trying</x:v>
      </x:c>
      <x:c r="I25" s="47" t="str">
        <x:v>Default</x:v>
      </x:c>
      <x:c r="J25" s="47" t="str">
        <x:v>Skip != completion/mastery/streak</x:v>
      </x:c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L-032</x:v>
      </x:c>
      <x:c r="B26" s="47" t="str">
        <x:v>Learner</x:v>
      </x:c>
      <x:c r="C26" s="47" t="str">
        <x:v>Learning</x:v>
      </x:c>
      <x:c r="D26" s="47" t="str">
        <x:v>Cycle Summary</x:v>
      </x:c>
      <x:c r="E26" s="47" t="str">
        <x:v>/learn/cycle/summary</x:v>
      </x:c>
      <x:c r="F26" s="47" t="str">
        <x:v>Explicit closure, practiced evidence and next step</x:v>
      </x:c>
      <x:c r="G26" s="47" t="str">
        <x:v>Cycle complete</x:v>
      </x:c>
      <x:c r="H26" s="47" t="str">
        <x:v>Done for now / Continue learning</x:v>
      </x:c>
      <x:c r="I26" s="47" t="str">
        <x:v>Complete, partial, sync-queued</x:v>
      </x:c>
      <x:c r="J26" s="47" t="str">
        <x:v>No fake mastery %; user explicitly starts another cycle</x:v>
      </x:c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L-033</x:v>
      </x:c>
      <x:c r="B27" s="47" t="str">
        <x:v>Learner</x:v>
      </x:c>
      <x:c r="C27" s="47" t="str">
        <x:v>Learning</x:v>
      </x:c>
      <x:c r="D27" s="47" t="str">
        <x:v>Resume Cycle</x:v>
      </x:c>
      <x:c r="E27" s="47" t="str">
        <x:v>/learn/resume</x:v>
      </x:c>
      <x:c r="F27" s="47" t="str">
        <x:v>Resume preserved finite cycle</x:v>
      </x:c>
      <x:c r="G27" s="47" t="str">
        <x:v>Interrupted cycle</x:v>
      </x:c>
      <x:c r="H27" s="47" t="str">
        <x:v>Resume / Leave for now</x:v>
      </x:c>
      <x:c r="I27" s="47" t="str">
        <x:v>Resume, stale-content refresh</x:v>
      </x:c>
      <x:c r="J27" s="47" t="str">
        <x:v>No duplicate submit on resume</x:v>
      </x:c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L-040</x:v>
      </x:c>
      <x:c r="B28" s="47" t="str">
        <x:v>Learner</x:v>
      </x:c>
      <x:c r="C28" s="47" t="str">
        <x:v>Main</x:v>
      </x:c>
      <x:c r="D28" s="47" t="str">
        <x:v>Course Map</x:v>
      </x:c>
      <x:c r="E28" s="47" t="str">
        <x:v>/course</x:v>
      </x:c>
      <x:c r="F28" s="47" t="str">
        <x:v>Browse objectives and broader path</x:v>
      </x:c>
      <x:c r="G28" s="47" t="str">
        <x:v>Course tab</x:v>
      </x:c>
      <x:c r="H28" s="47" t="str">
        <x:v>Open objective / Preview locked</x:v>
      </x:c>
      <x:c r="I28" s="47" t="str">
        <x:v>Open, due-review, locked, empty</x:v>
      </x:c>
      <x:c r="J28" s="47" t="str">
        <x:v>Preview does not unlock/progress</x:v>
      </x:c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L-041</x:v>
      </x:c>
      <x:c r="B29" s="47" t="str">
        <x:v>Learner</x:v>
      </x:c>
      <x:c r="C29" s="47" t="str">
        <x:v>Course</x:v>
      </x:c>
      <x:c r="D29" s="47" t="str">
        <x:v>Objective Detail</x:v>
      </x:c>
      <x:c r="E29" s="47" t="str">
        <x:v>/course/objective/:id</x:v>
      </x:c>
      <x:c r="F29" s="47" t="str">
        <x:v>Explain objective, evidence and eligibility</x:v>
      </x:c>
      <x:c r="G29" s="47" t="str">
        <x:v>Course map</x:v>
      </x:c>
      <x:c r="H29" s="47" t="str">
        <x:v>Start eligible practice / Review</x:v>
      </x:c>
      <x:c r="I29" s="47" t="str">
        <x:v>Eligible, due, locked, insufficient-evidence</x:v>
      </x:c>
      <x:c r="J29" s="47" t="str">
        <x:v>Prerequisite guardrail remains authoritative</x:v>
      </x:c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L-042</x:v>
      </x:c>
      <x:c r="B30" s="47" t="str">
        <x:v>Learner</x:v>
      </x:c>
      <x:c r="C30" s="47" t="str">
        <x:v>Course</x:v>
      </x:c>
      <x:c r="D30" s="47" t="str">
        <x:v>Locked Preview</x:v>
      </x:c>
      <x:c r="E30" s="47" t="str">
        <x:v>/course/objective/:id/preview</x:v>
      </x:c>
      <x:c r="F30" s="47" t="str">
        <x:v>Safe preview of locked objective</x:v>
      </x:c>
      <x:c r="G30" s="47" t="str">
        <x:v>Locked objective</x:v>
      </x:c>
      <x:c r="H30" s="47" t="str">
        <x:v>Back / Work on prerequisite</x:v>
      </x:c>
      <x:c r="I30" s="47" t="str">
        <x:v>Preview</x:v>
      </x:c>
      <x:c r="J30" s="47" t="str">
        <x:v>No score/progress/unlock from preview</x:v>
      </x:c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L-050</x:v>
      </x:c>
      <x:c r="B31" s="47" t="str">
        <x:v>Learner</x:v>
      </x:c>
      <x:c r="C31" s="47" t="str">
        <x:v>Main</x:v>
      </x:c>
      <x:c r="D31" s="47" t="str">
        <x:v>Profile</x:v>
      </x:c>
      <x:c r="E31" s="47" t="str">
        <x:v>/profile</x:v>
      </x:c>
      <x:c r="F31" s="47" t="str">
        <x:v>Goal, qualitative learning evidence and settings entry</x:v>
      </x:c>
      <x:c r="G31" s="47" t="str">
        <x:v>Profile tab</x:v>
      </x:c>
      <x:c r="H31" s="47" t="str">
        <x:v>Open evidence/settings</x:v>
      </x:c>
      <x:c r="I31" s="47" t="str">
        <x:v>Default, insufficient-evidence</x:v>
      </x:c>
      <x:c r="J31" s="47" t="str">
        <x:v>Engagement/streak not presented as mastery</x:v>
      </x:c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L-051</x:v>
      </x:c>
      <x:c r="B32" s="47" t="str">
        <x:v>Learner</x:v>
      </x:c>
      <x:c r="C32" s="47" t="str">
        <x:v>Profile</x:v>
      </x:c>
      <x:c r="D32" s="47" t="str">
        <x:v>Evidence Detail</x:v>
      </x:c>
      <x:c r="E32" s="47" t="str">
        <x:v>/profile/evidence/:domain</x:v>
      </x:c>
      <x:c r="F32" s="47" t="str">
        <x:v>Show observations, uncertainty and missing evidence</x:v>
      </x:c>
      <x:c r="G32" s="47" t="str">
        <x:v>Profile</x:v>
      </x:c>
      <x:c r="H32" s="47" t="str">
        <x:v>Review related objective</x:v>
      </x:c>
      <x:c r="I32" s="47" t="str">
        <x:v>Building, more-evidence-needed</x:v>
      </x:c>
      <x:c r="J32" s="47" t="str">
        <x:v>No diagnosis or precise mastery percentage without validated model</x:v>
      </x:c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L-052</x:v>
      </x:c>
      <x:c r="B33" s="47" t="str">
        <x:v>Learner</x:v>
      </x:c>
      <x:c r="C33" s="47" t="str">
        <x:v>Profile</x:v>
      </x:c>
      <x:c r="D33" s="47" t="str">
        <x:v>Goal Settings</x:v>
      </x:c>
      <x:c r="E33" s="47" t="str">
        <x:v>/profile/goal</x:v>
      </x:c>
      <x:c r="F33" s="47" t="str">
        <x:v>Edit learner intent</x:v>
      </x:c>
      <x:c r="G33" s="47" t="str">
        <x:v>Profile</x:v>
      </x:c>
      <x:c r="H33" s="47" t="str">
        <x:v>Save / Clear</x:v>
      </x:c>
      <x:c r="I33" s="47" t="str">
        <x:v>Default, saved, error</x:v>
      </x:c>
      <x:c r="J33" s="47" t="str">
        <x:v>Goal change does not rewrite competence</x:v>
      </x:c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L-053</x:v>
      </x:c>
      <x:c r="B34" s="47" t="str">
        <x:v>Learner</x:v>
      </x:c>
      <x:c r="C34" s="47" t="str">
        <x:v>Profile</x:v>
      </x:c>
      <x:c r="D34" s="47" t="str">
        <x:v>Learning Preferences</x:v>
      </x:c>
      <x:c r="E34" s="47" t="str">
        <x:v>/profile/preferences</x:v>
      </x:c>
      <x:c r="F34" s="47" t="str">
        <x:v>Accessibility and learning preferences</x:v>
      </x:c>
      <x:c r="G34" s="47" t="str">
        <x:v>Profile</x:v>
      </x:c>
      <x:c r="H34" s="47" t="str">
        <x:v>Save</x:v>
      </x:c>
      <x:c r="I34" s="47" t="str">
        <x:v>Default, saved</x:v>
      </x:c>
      <x:c r="J34" s="47" t="str">
        <x:v>Preference cannot bypass required eligibility rules</x:v>
      </x:c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L-054</x:v>
      </x:c>
      <x:c r="B35" s="47" t="str">
        <x:v>Learner</x:v>
      </x:c>
      <x:c r="C35" s="47" t="str">
        <x:v>Profile</x:v>
      </x:c>
      <x:c r="D35" s="47" t="str">
        <x:v>Offline Downloads</x:v>
      </x:c>
      <x:c r="E35" s="47" t="str">
        <x:v>/profile/offline</x:v>
      </x:c>
      <x:c r="F35" s="47" t="str">
        <x:v>Manage available offline content packages</x:v>
      </x:c>
      <x:c r="G35" s="47" t="str">
        <x:v>Profile</x:v>
      </x:c>
      <x:c r="H35" s="47" t="str">
        <x:v>Download / Remove / Refresh</x:v>
      </x:c>
      <x:c r="I35" s="47" t="str">
        <x:v>Available, downloading, downloaded, expired, failed</x:v>
      </x:c>
      <x:c r="J35" s="47" t="str">
        <x:v>Access grant/package rules remain server-authoritative</x:v>
      </x:c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L-060</x:v>
      </x:c>
      <x:c r="B36" s="47" t="str">
        <x:v>Learner</x:v>
      </x:c>
      <x:c r="C36" s="47" t="str">
        <x:v>System</x:v>
      </x:c>
      <x:c r="D36" s="47" t="str">
        <x:v>Sync Queue</x:v>
      </x:c>
      <x:c r="E36" s="47" t="str">
        <x:v>/sync</x:v>
      </x:c>
      <x:c r="F36" s="47" t="str">
        <x:v>Explain queued/synced items without technical jargon</x:v>
      </x:c>
      <x:c r="G36" s="47" t="str">
        <x:v>Sync status tap</x:v>
      </x:c>
      <x:c r="H36" s="47" t="str">
        <x:v>Retry / Close</x:v>
      </x:c>
      <x:c r="I36" s="47" t="str">
        <x:v>Queued, syncing, synced, partial</x:v>
      </x:c>
      <x:c r="J36" s="47" t="str">
        <x:v>Queued != accepted; canonical progress waits server result</x:v>
      </x:c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L-061</x:v>
      </x:c>
      <x:c r="B37" s="47" t="str">
        <x:v>Learner</x:v>
      </x:c>
      <x:c r="C37" s="47" t="str">
        <x:v>System</x:v>
      </x:c>
      <x:c r="D37" s="47" t="str">
        <x:v>Sync Error</x:v>
      </x:c>
      <x:c r="E37" s="47" t="str">
        <x:v>/sync/error</x:v>
      </x:c>
      <x:c r="F37" s="47" t="str">
        <x:v>Recover retryable sync failure</x:v>
      </x:c>
      <x:c r="G37" s="47" t="str">
        <x:v>Sync fail</x:v>
      </x:c>
      <x:c r="H37" s="47" t="str">
        <x:v>Retry now / Later</x:v>
      </x:c>
      <x:c r="I37" s="47" t="str">
        <x:v>Retryable, re-auth-required, canonical-refresh</x:v>
      </x:c>
      <x:c r="J37" s="47" t="str">
        <x:v>Never encourage duplicate manual resubmission</x:v>
      </x:c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L-062</x:v>
      </x:c>
      <x:c r="B38" s="47" t="str">
        <x:v>Learner</x:v>
      </x:c>
      <x:c r="C38" s="47" t="str">
        <x:v>System</x:v>
      </x:c>
      <x:c r="D38" s="47" t="str">
        <x:v>Generic Error</x:v>
      </x:c>
      <x:c r="E38" s="47" t="str">
        <x:v>/error</x:v>
      </x:c>
      <x:c r="F38" s="47" t="str">
        <x:v>Recover from unexpected non-destructive error</x:v>
      </x:c>
      <x:c r="G38" s="47" t="str">
        <x:v>Runtime error</x:v>
      </x:c>
      <x:c r="H38" s="47" t="str">
        <x:v>Retry / Go home</x:v>
      </x:c>
      <x:c r="I38" s="47" t="str">
        <x:v>Recoverable, fatal</x:v>
      </x:c>
      <x:c r="J38" s="47" t="str">
        <x:v>No false success state</x:v>
      </x:c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L-063</x:v>
      </x:c>
      <x:c r="B39" s="47" t="str">
        <x:v>Learner</x:v>
      </x:c>
      <x:c r="C39" s="47" t="str">
        <x:v>System</x:v>
      </x:c>
      <x:c r="D39" s="47" t="str">
        <x:v>Nothing Due / Content Gap</x:v>
      </x:c>
      <x:c r="E39" s="47" t="str">
        <x:v>/learn/empty</x:v>
      </x:c>
      <x:c r="F39" s="47" t="str">
        <x:v>Honest empty/content unavailable state</x:v>
      </x:c>
      <x:c r="G39" s="47" t="str">
        <x:v>No eligible cycle</x:v>
      </x:c>
      <x:c r="H39" s="47" t="str">
        <x:v>Explore course / Sync content</x:v>
      </x:c>
      <x:c r="I39" s="47" t="str">
        <x:v>Nothing-due, no-valid-cycle, media-unavailable</x:v>
      </x:c>
      <x:c r="J39" s="47" t="str">
        <x:v>Do not fabricate cycle/recommendation</x:v>
      </x:c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L-064</x:v>
      </x:c>
      <x:c r="B40" s="47" t="str">
        <x:v>Learner</x:v>
      </x:c>
      <x:c r="C40" s="47" t="str">
        <x:v>System</x:v>
      </x:c>
      <x:c r="D40" s="47" t="str">
        <x:v>Re-auth Required</x:v>
      </x:c>
      <x:c r="E40" s="47" t="str">
        <x:v>/reauth</x:v>
      </x:c>
      <x:c r="F40" s="47" t="str">
        <x:v>Explain account/session action required</x:v>
      </x:c>
      <x:c r="G40" s="47" t="str">
        <x:v>Auth/session invalid later</x:v>
      </x:c>
      <x:c r="H40" s="47" t="str">
        <x:v>Sign in again</x:v>
      </x:c>
      <x:c r="I40" s="47" t="str">
        <x:v>Default</x:v>
      </x:c>
      <x:c r="J40" s="47" t="str">
        <x:v>Phase 3 implements auth; no local permission bypass</x:v>
      </x:c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S-001</x:v>
      </x:c>
      <x:c r="B41" s="47" t="str">
        <x:v>Staff</x:v>
      </x:c>
      <x:c r="C41" s="47" t="str">
        <x:v>Entry</x:v>
      </x:c>
      <x:c r="D41" s="47" t="str">
        <x:v>Staff Entry</x:v>
      </x:c>
      <x:c r="E41" s="47" t="str">
        <x:v>/staff</x:v>
      </x:c>
      <x:c r="F41" s="47" t="str">
        <x:v>Role-aware staff shell entry placeholder</x:v>
      </x:c>
      <x:c r="G41" s="47" t="str">
        <x:v>Staff app launch</x:v>
      </x:c>
      <x:c r="H41" s="47" t="str">
        <x:v>Enter authorized workspace</x:v>
      </x:c>
      <x:c r="I41" s="47" t="str">
        <x:v>Loading, access-required</x:v>
      </x:c>
      <x:c r="J41" s="47" t="str">
        <x:v>Actual authentication/authorization belongs Phase 3</x:v>
      </x:c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S-010</x:v>
      </x:c>
      <x:c r="B42" s="47" t="str">
        <x:v>Staff</x:v>
      </x:c>
      <x:c r="C42" s="47" t="str">
        <x:v>Main</x:v>
      </x:c>
      <x:c r="D42" s="47" t="str">
        <x:v>Dashboard</x:v>
      </x:c>
      <x:c r="E42" s="47" t="str">
        <x:v>/staff/dashboard</x:v>
      </x:c>
      <x:c r="F42" s="47" t="str">
        <x:v>Operational overview and pending work</x:v>
      </x:c>
      <x:c r="G42" s="47" t="str">
        <x:v>Staff shell</x:v>
      </x:c>
      <x:c r="H42" s="47" t="str">
        <x:v>Open work queue</x:v>
      </x:c>
      <x:c r="I42" s="47" t="str">
        <x:v>Default, empty, partial</x:v>
      </x:c>
      <x:c r="J42" s="47" t="str">
        <x:v>Metrics must identify time range/source</x:v>
      </x:c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S-020</x:v>
      </x:c>
      <x:c r="B43" s="47" t="str">
        <x:v>Staff</x:v>
      </x:c>
      <x:c r="C43" s="47" t="str">
        <x:v>Learners</x:v>
      </x:c>
      <x:c r="D43" s="47" t="str">
        <x:v>Learner List</x:v>
      </x:c>
      <x:c r="E43" s="47" t="str">
        <x:v>/staff/learners</x:v>
      </x:c>
      <x:c r="F43" s="47" t="str">
        <x:v>Search/filter assigned learners</x:v>
      </x:c>
      <x:c r="G43" s="47" t="str">
        <x:v>Learners nav</x:v>
      </x:c>
      <x:c r="H43" s="47" t="str">
        <x:v>Open learner</x:v>
      </x:c>
      <x:c r="I43" s="47" t="str">
        <x:v>Loading, empty, filtered, error</x:v>
      </x:c>
      <x:c r="J43" s="47" t="str">
        <x:v>Role visibility is not authorization</x:v>
      </x:c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S-021</x:v>
      </x:c>
      <x:c r="B44" s="47" t="str">
        <x:v>Staff</x:v>
      </x:c>
      <x:c r="C44" s="47" t="str">
        <x:v>Learners</x:v>
      </x:c>
      <x:c r="D44" s="47" t="str">
        <x:v>Learner Overview</x:v>
      </x:c>
      <x:c r="E44" s="47" t="str">
        <x:v>/staff/learners/:id</x:v>
      </x:c>
      <x:c r="F44" s="47" t="str">
        <x:v>Evidence-based learner overview</x:v>
      </x:c>
      <x:c r="G44" s="47" t="str">
        <x:v>Learner list</x:v>
      </x:c>
      <x:c r="H44" s="47" t="str">
        <x:v>Open evidence/activity/intervention</x:v>
      </x:c>
      <x:c r="I44" s="47" t="str">
        <x:v>Default, insufficient-evidence, access-denied</x:v>
      </x:c>
      <x:c r="J44" s="47" t="str">
        <x:v>No mental-state diagnosis; raw risk not default to content admin</x:v>
      </x:c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S-022</x:v>
      </x:c>
      <x:c r="B45" s="47" t="str">
        <x:v>Staff</x:v>
      </x:c>
      <x:c r="C45" s="47" t="str">
        <x:v>Learners</x:v>
      </x:c>
      <x:c r="D45" s="47" t="str">
        <x:v>Learner Evidence</x:v>
      </x:c>
      <x:c r="E45" s="47" t="str">
        <x:v>/staff/learners/:id/evidence</x:v>
      </x:c>
      <x:c r="F45" s="47" t="str">
        <x:v>Review learning/engagement evidence separately</x:v>
      </x:c>
      <x:c r="G45" s="47" t="str">
        <x:v>Learner overview</x:v>
      </x:c>
      <x:c r="H45" s="47" t="str">
        <x:v>Inspect evidence</x:v>
      </x:c>
      <x:c r="I45" s="47" t="str">
        <x:v>Loading, no-evidence</x:v>
      </x:c>
      <x:c r="J45" s="47" t="str">
        <x:v>Mastery != risk; uncertainty visible</x:v>
      </x:c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S-023</x:v>
      </x:c>
      <x:c r="B46" s="47" t="str">
        <x:v>Staff</x:v>
      </x:c>
      <x:c r="C46" s="47" t="str">
        <x:v>Learners</x:v>
      </x:c>
      <x:c r="D46" s="47" t="str">
        <x:v>Learner Activity</x:v>
      </x:c>
      <x:c r="E46" s="47" t="str">
        <x:v>/staff/learners/:id/activity</x:v>
      </x:c>
      <x:c r="F46" s="47" t="str">
        <x:v>Auditable recent learning/exposure/activity history</x:v>
      </x:c>
      <x:c r="G46" s="47" t="str">
        <x:v>Learner overview</x:v>
      </x:c>
      <x:c r="H46" s="47" t="str">
        <x:v>Inspect record</x:v>
      </x:c>
      <x:c r="I46" s="47" t="str">
        <x:v>Default, empty</x:v>
      </x:c>
      <x:c r="J46" s="47" t="str">
        <x:v>Historical revision pinning preserved</x:v>
      </x:c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S-030</x:v>
      </x:c>
      <x:c r="B47" s="47" t="str">
        <x:v>Staff</x:v>
      </x:c>
      <x:c r="C47" s="47" t="str">
        <x:v>Content</x:v>
      </x:c>
      <x:c r="D47" s="47" t="str">
        <x:v>Content Library</x:v>
      </x:c>
      <x:c r="E47" s="47" t="str">
        <x:v>/staff/content</x:v>
      </x:c>
      <x:c r="F47" s="47" t="str">
        <x:v>Browse/search drafts/published revisions</x:v>
      </x:c>
      <x:c r="G47" s="47" t="str">
        <x:v>Content nav</x:v>
      </x:c>
      <x:c r="H47" s="47" t="str">
        <x:v>Create draft / Open item</x:v>
      </x:c>
      <x:c r="I47" s="47" t="str">
        <x:v>Default, empty, filtered</x:v>
      </x:c>
      <x:c r="J47" s="47" t="str">
        <x:v>Published revision immutable</x:v>
      </x:c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S-031</x:v>
      </x:c>
      <x:c r="B48" s="47" t="str">
        <x:v>Staff</x:v>
      </x:c>
      <x:c r="C48" s="47" t="str">
        <x:v>Content</x:v>
      </x:c>
      <x:c r="D48" s="47" t="str">
        <x:v>Content Draft Editor</x:v>
      </x:c>
      <x:c r="E48" s="47" t="str">
        <x:v>/staff/content/drafts/:id</x:v>
      </x:c>
      <x:c r="F48" s="47" t="str">
        <x:v>Author draft content and learning metadata</x:v>
      </x:c>
      <x:c r="G48" s="47" t="str">
        <x:v>Library/new draft</x:v>
      </x:c>
      <x:c r="H48" s="47" t="str">
        <x:v>Save draft / Preview / Submit review</x:v>
      </x:c>
      <x:c r="I48" s="47" t="str">
        <x:v>Dirty, saving, saved, validation-error</x:v>
      </x:c>
      <x:c r="J48" s="47" t="str">
        <x:v>Draft may change; published content cannot</x:v>
      </x:c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S-032</x:v>
      </x:c>
      <x:c r="B49" s="47" t="str">
        <x:v>Staff</x:v>
      </x:c>
      <x:c r="C49" s="47" t="str">
        <x:v>Content</x:v>
      </x:c>
      <x:c r="D49" s="47" t="str">
        <x:v>Content Preview</x:v>
      </x:c>
      <x:c r="E49" s="47" t="str">
        <x:v>/staff/content/drafts/:id/preview</x:v>
      </x:c>
      <x:c r="F49" s="47" t="str">
        <x:v>Preview learner rendering before review</x:v>
      </x:c>
      <x:c r="G49" s="47" t="str">
        <x:v>Editor</x:v>
      </x:c>
      <x:c r="H49" s="47" t="str">
        <x:v>Back to edit / Submit review</x:v>
      </x:c>
      <x:c r="I49" s="47" t="str">
        <x:v>Mobile preview, audio unavailable</x:v>
      </x:c>
      <x:c r="J49" s="47" t="str">
        <x:v>Preview is not publication</x:v>
      </x:c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S-033</x:v>
      </x:c>
      <x:c r="B50" s="47" t="str">
        <x:v>Staff</x:v>
      </x:c>
      <x:c r="C50" s="47" t="str">
        <x:v>Content</x:v>
      </x:c>
      <x:c r="D50" s="47" t="str">
        <x:v>Source &amp; License</x:v>
      </x:c>
      <x:c r="E50" s="47" t="str">
        <x:v>/staff/content/drafts/:id/source</x:v>
      </x:c>
      <x:c r="F50" s="47" t="str">
        <x:v>Capture provenance, license and attribution</x:v>
      </x:c>
      <x:c r="G50" s="47" t="str">
        <x:v>Editor</x:v>
      </x:c>
      <x:c r="H50" s="47" t="str">
        <x:v>Save provenance</x:v>
      </x:c>
      <x:c r="I50" s="47" t="str">
        <x:v>Complete, incomplete, blocked</x:v>
      </x:c>
      <x:c r="J50" s="47" t="str">
        <x:v>Public access alone != reuse permission</x:v>
      </x:c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S-034</x:v>
      </x:c>
      <x:c r="B51" s="47" t="str">
        <x:v>Staff</x:v>
      </x:c>
      <x:c r="C51" s="47" t="str">
        <x:v>Content</x:v>
      </x:c>
      <x:c r="D51" s="47" t="str">
        <x:v>Review Queue</x:v>
      </x:c>
      <x:c r="E51" s="47" t="str">
        <x:v>/staff/content/review</x:v>
      </x:c>
      <x:c r="F51" s="47" t="str">
        <x:v>List items awaiting editorial/license review</x:v>
      </x:c>
      <x:c r="G51" s="47" t="str">
        <x:v>Content nav</x:v>
      </x:c>
      <x:c r="H51" s="47" t="str">
        <x:v>Open review</x:v>
      </x:c>
      <x:c r="I51" s="47" t="str">
        <x:v>Empty, filtered</x:v>
      </x:c>
      <x:c r="J51" s="47" t="str">
        <x:v>Reviewer actions require later server permission</x:v>
      </x:c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S-035</x:v>
      </x:c>
      <x:c r="B52" s="47" t="str">
        <x:v>Staff</x:v>
      </x:c>
      <x:c r="C52" s="47" t="str">
        <x:v>Content</x:v>
      </x:c>
      <x:c r="D52" s="47" t="str">
        <x:v>Review Detail</x:v>
      </x:c>
      <x:c r="E52" s="47" t="str">
        <x:v>/staff/content/review/:id</x:v>
      </x:c>
      <x:c r="F52" s="47" t="str">
        <x:v>Review content, answers, media, provenance</x:v>
      </x:c>
      <x:c r="G52" s="47" t="str">
        <x:v>Review queue</x:v>
      </x:c>
      <x:c r="H52" s="47" t="str">
        <x:v>Approve / Request changes</x:v>
      </x:c>
      <x:c r="I52" s="47" t="str">
        <x:v>Reviewing, blocked-license, validation-error</x:v>
      </x:c>
      <x:c r="J52" s="47" t="str">
        <x:v>Cannot approve missing license/provenance gate</x:v>
      </x:c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S-036</x:v>
      </x:c>
      <x:c r="B53" s="47" t="str">
        <x:v>Staff</x:v>
      </x:c>
      <x:c r="C53" s="47" t="str">
        <x:v>Overlay</x:v>
      </x:c>
      <x:c r="D53" s="47" t="str">
        <x:v>Publish Confirmation</x:v>
      </x:c>
      <x:c r="E53" s="47" t="str">
        <x:v>/staff/content/publish/:id</x:v>
      </x:c>
      <x:c r="F53" s="47" t="str">
        <x:v>Confirm creation of immutable published revision</x:v>
      </x:c>
      <x:c r="G53" s="47" t="str">
        <x:v>Approved review</x:v>
      </x:c>
      <x:c r="H53" s="47" t="str">
        <x:v>Publish revision / Cancel</x:v>
      </x:c>
      <x:c r="I53" s="47" t="str">
        <x:v>Ready, publishing, failed</x:v>
      </x:c>
      <x:c r="J53" s="47" t="str">
        <x:v>Publish creates new immutable revision; no edit-in-place</x:v>
      </x:c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S-037</x:v>
      </x:c>
      <x:c r="B54" s="47" t="str">
        <x:v>Staff</x:v>
      </x:c>
      <x:c r="C54" s="47" t="str">
        <x:v>Content</x:v>
      </x:c>
      <x:c r="D54" s="47" t="str">
        <x:v>Published Revision</x:v>
      </x:c>
      <x:c r="E54" s="47" t="str">
        <x:v>/staff/content/published/:id</x:v>
      </x:c>
      <x:c r="F54" s="47" t="str">
        <x:v>Inspect immutable revision/history</x:v>
      </x:c>
      <x:c r="G54" s="47" t="str">
        <x:v>Library/publish</x:v>
      </x:c>
      <x:c r="H54" s="47" t="str">
        <x:v>Create new draft from revision</x:v>
      </x:c>
      <x:c r="I54" s="47" t="str">
        <x:v>Published, retired, revoked</x:v>
      </x:c>
      <x:c r="J54" s="47" t="str">
        <x:v>Historical attempt remains pinned</x:v>
      </x:c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S-040</x:v>
      </x:c>
      <x:c r="B55" s="47" t="str">
        <x:v>Staff</x:v>
      </x:c>
      <x:c r="C55" s="47" t="str">
        <x:v>Interventions</x:v>
      </x:c>
      <x:c r="D55" s="47" t="str">
        <x:v>Interventions</x:v>
      </x:c>
      <x:c r="E55" s="47" t="str">
        <x:v>/staff/interventions</x:v>
      </x:c>
      <x:c r="F55" s="47" t="str">
        <x:v>Future queue of support actions</x:v>
      </x:c>
      <x:c r="G55" s="47" t="str">
        <x:v>Sidebar</x:v>
      </x:c>
      <x:c r="H55" s="47" t="str">
        <x:v>Open intervention</x:v>
      </x:c>
      <x:c r="I55" s="47" t="str">
        <x:v>Placeholder, empty</x:v>
      </x:c>
      <x:c r="J55" s="47" t="str">
        <x:v>Phase 11/12 domain behavior not implemented in Phase 2</x:v>
      </x:c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S-041</x:v>
      </x:c>
      <x:c r="B56" s="47" t="str">
        <x:v>Staff</x:v>
      </x:c>
      <x:c r="C56" s="47" t="str">
        <x:v>Interventions</x:v>
      </x:c>
      <x:c r="D56" s="47" t="str">
        <x:v>Intervention Detail</x:v>
      </x:c>
      <x:c r="E56" s="47" t="str">
        <x:v>/staff/interventions/:id</x:v>
      </x:c>
      <x:c r="F56" s="47" t="str">
        <x:v>Show reason/evidence/decision/exposure/execution/outcome structure</x:v>
      </x:c>
      <x:c r="G56" s="47" t="str">
        <x:v>Interventions</x:v>
      </x:c>
      <x:c r="H56" s="47" t="str">
        <x:v>Record later action</x:v>
      </x:c>
      <x:c r="I56" s="47" t="str">
        <x:v>Placeholder, unavailable</x:v>
      </x:c>
      <x:c r="J56" s="47" t="str">
        <x:v>Recommendation lifecycle layers remain distinct</x:v>
      </x:c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S-050</x:v>
      </x:c>
      <x:c r="B57" s="47" t="str">
        <x:v>Staff</x:v>
      </x:c>
      <x:c r="C57" s="47" t="str">
        <x:v>Analytics</x:v>
      </x:c>
      <x:c r="D57" s="47" t="str">
        <x:v>Analytics Overview</x:v>
      </x:c>
      <x:c r="E57" s="47" t="str">
        <x:v>/staff/analytics</x:v>
      </x:c>
      <x:c r="F57" s="47" t="str">
        <x:v>Future operational/learning analytics shell</x:v>
      </x:c>
      <x:c r="G57" s="47" t="str">
        <x:v>Sidebar</x:v>
      </x:c>
      <x:c r="H57" s="47" t="str">
        <x:v>Open metric view</x:v>
      </x:c>
      <x:c r="I57" s="47" t="str">
        <x:v>Placeholder, no-data</x:v>
      </x:c>
      <x:c r="J57" s="47" t="str">
        <x:v>Event time/known time/source context required</x:v>
      </x:c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S-051</x:v>
      </x:c>
      <x:c r="B58" s="47" t="str">
        <x:v>Staff</x:v>
      </x:c>
      <x:c r="C58" s="47" t="str">
        <x:v>Analytics</x:v>
      </x:c>
      <x:c r="D58" s="47" t="str">
        <x:v>Metric Detail</x:v>
      </x:c>
      <x:c r="E58" s="47" t="str">
        <x:v>/staff/analytics/:metric</x:v>
      </x:c>
      <x:c r="F58" s="47" t="str">
        <x:v>Inspect metric definition, cohort and time window</x:v>
      </x:c>
      <x:c r="G58" s="47" t="str">
        <x:v>Analytics overview</x:v>
      </x:c>
      <x:c r="H58" s="47" t="str">
        <x:v>Change filters</x:v>
      </x:c>
      <x:c r="I58" s="47" t="str">
        <x:v>Placeholder, insufficient-data</x:v>
      </x:c>
      <x:c r="J58" s="47" t="str">
        <x:v>No hidden denominator or future-data leakage</x:v>
      </x:c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S-060</x:v>
      </x:c>
      <x:c r="B59" s="47" t="str">
        <x:v>Staff</x:v>
      </x:c>
      <x:c r="C59" s="47" t="str">
        <x:v>Admin</x:v>
      </x:c>
      <x:c r="D59" s="47" t="str">
        <x:v>Administration</x:v>
      </x:c>
      <x:c r="E59" s="47" t="str">
        <x:v>/staff/admin</x:v>
      </x:c>
      <x:c r="F59" s="47" t="str">
        <x:v>Entry to role/config/audit operations</x:v>
      </x:c>
      <x:c r="G59" s="47" t="str">
        <x:v>Sidebar</x:v>
      </x:c>
      <x:c r="H59" s="47" t="str">
        <x:v>Open admin area</x:v>
      </x:c>
      <x:c r="I59" s="47" t="str">
        <x:v>Placeholder, access-denied</x:v>
      </x:c>
      <x:c r="J59" s="47" t="str">
        <x:v>Phase 3/13 define authorization/security</x:v>
      </x:c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S-061</x:v>
      </x:c>
      <x:c r="B60" s="47" t="str">
        <x:v>Staff</x:v>
      </x:c>
      <x:c r="C60" s="47" t="str">
        <x:v>Admin</x:v>
      </x:c>
      <x:c r="D60" s="47" t="str">
        <x:v>Roles &amp; Permissions</x:v>
      </x:c>
      <x:c r="E60" s="47" t="str">
        <x:v>/staff/admin/roles</x:v>
      </x:c>
      <x:c r="F60" s="47" t="str">
        <x:v>Future role management shell</x:v>
      </x:c>
      <x:c r="G60" s="47" t="str">
        <x:v>Administration</x:v>
      </x:c>
      <x:c r="H60" s="47" t="str">
        <x:v>Inspect role</x:v>
      </x:c>
      <x:c r="I60" s="47" t="str">
        <x:v>Placeholder</x:v>
      </x:c>
      <x:c r="J60" s="47" t="str">
        <x:v>UI visibility never substitutes backend authz</x:v>
      </x:c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S-062</x:v>
      </x:c>
      <x:c r="B61" s="47" t="str">
        <x:v>Staff</x:v>
      </x:c>
      <x:c r="C61" s="47" t="str">
        <x:v>Admin</x:v>
      </x:c>
      <x:c r="D61" s="47" t="str">
        <x:v>Audit Log</x:v>
      </x:c>
      <x:c r="E61" s="47" t="str">
        <x:v>/staff/admin/audit</x:v>
      </x:c>
      <x:c r="F61" s="47" t="str">
        <x:v>Future privileged audit view</x:v>
      </x:c>
      <x:c r="G61" s="47" t="str">
        <x:v>Administration</x:v>
      </x:c>
      <x:c r="H61" s="47" t="str">
        <x:v>Inspect event</x:v>
      </x:c>
      <x:c r="I61" s="47" t="str">
        <x:v>Placeholder, filtered</x:v>
      </x:c>
      <x:c r="J61" s="47" t="str">
        <x:v>Privileged actions audited</x:v>
      </x:c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fb1bba124244f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58" hidden="0" customWidth="1"/>
    <x:col min="4" max="4" width="78" hidden="0" customWidth="1"/>
  </x:cols>
  <x:sheetData>
    <x:row r="1" ht="28" customHeight="1">
      <x:c r="A1" s="4" t="str">
        <x:v>SHARED COMPONENT / STATE CATALOG</x:v>
      </x:c>
      <x:c r="B1" s="4"/>
      <x:c r="C1" s="4"/>
      <x:c r="D1" s="4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Mandatory non-happy-path states.</x:v>
      </x:c>
      <x:c r="B2" s="11"/>
      <x:c r="C2" s="11"/>
      <x:c r="D2" s="11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Component ID</x:v>
      </x:c>
      <x:c r="B4" s="46" t="str">
        <x:v>Component</x:v>
      </x:c>
      <x:c r="C4" s="46" t="str">
        <x:v>Required states</x:v>
      </x:c>
      <x:c r="D4" s="46" t="str">
        <x:v>Invariant / UX rule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C-001</x:v>
      </x:c>
      <x:c r="B5" s="47" t="str">
        <x:v>AppShell</x:v>
      </x:c>
      <x:c r="C5" s="47" t="str">
        <x:v>loading, ready, offline, sync-warning, access-required</x:v>
      </x:c>
      <x:c r="D5" s="47" t="str">
        <x:v>Navigation shell never performs business authorization.</x:v>
      </x:c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C-002</x:v>
      </x:c>
      <x:c r="B6" s="47" t="str">
        <x:v>PrimaryButton</x:v>
      </x:c>
      <x:c r="C6" s="47" t="str">
        <x:v>default, pressed, focus, disabled, loading</x:v>
      </x:c>
      <x:c r="D6" s="47" t="str">
        <x:v>One dominant action per view where possible; disabled reason exposed when important.</x:v>
      </x:c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C-003</x:v>
      </x:c>
      <x:c r="B7" s="47" t="str">
        <x:v>AnswerOption</x:v>
      </x:c>
      <x:c r="C7" s="47" t="str">
        <x:v>idle, selected, focus, disabled, correct, incorrect</x:v>
      </x:c>
      <x:c r="D7" s="47" t="str">
        <x:v>Color is never the only correctness signal; selection is not submission.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C-004</x:v>
      </x:c>
      <x:c r="B8" s="47" t="str">
        <x:v>QuestionCard</x:v>
      </x:c>
      <x:c r="C8" s="47" t="str">
        <x:v>ready, submitting, locked, audio-unavailable</x:v>
      </x:c>
      <x:c r="D8" s="47" t="str">
        <x:v>Check mode can remove hint action without changing visual identity beyond clear context label.</x:v>
      </x:c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C-005</x:v>
      </x:c>
      <x:c r="B9" s="47" t="str">
        <x:v>FeedbackPanel</x:v>
      </x:c>
      <x:c r="C9" s="47" t="str">
        <x:v>correct, incorrect, retry-available, assisted, final</x:v>
      </x:c>
      <x:c r="D9" s="47" t="str">
        <x:v>Retry result never rewrites first-response language/history.</x:v>
      </x:c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C-006</x:v>
      </x:c>
      <x:c r="B10" s="47" t="str">
        <x:v>HintPanel</x:v>
      </x:c>
      <x:c r="C10" s="47" t="str">
        <x:v>available, open, used, unavailable</x:v>
      </x:c>
      <x:c r="D10" s="47" t="str">
        <x:v>Only in practice contexts; using it marks assisted evidence.</x:v>
      </x:c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C-007</x:v>
      </x:c>
      <x:c r="B11" s="47" t="str">
        <x:v>CycleProgress</x:v>
      </x:c>
      <x:c r="C11" s="47" t="str">
        <x:v>role-steps, item-progress, complete</x:v>
      </x:c>
      <x:c r="D11" s="47" t="str">
        <x:v>Show finite scope; never mimic infinite feed.</x:v>
      </x:c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C-008</x:v>
      </x:c>
      <x:c r="B12" s="47" t="str">
        <x:v>RecommendationCard</x:v>
      </x:c>
      <x:c r="C12" s="47" t="str">
        <x:v>due-review, current-objective, prerequisite-gap, recent-error, transfer, challenge, unavailable</x:v>
      </x:c>
      <x:c r="D12" s="47" t="str">
        <x:v>Reason must match auditable reason code; no inferred mental-state copy.</x:v>
      </x:c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C-009</x:v>
      </x:c>
      <x:c r="B13" s="47" t="str">
        <x:v>SyncBanner</x:v>
      </x:c>
      <x:c r="C13" s="47" t="str">
        <x:v>offline, queued, syncing, synced, partial, failed, reauth</x:v>
      </x:c>
      <x:c r="D13" s="47" t="str">
        <x:v>Distinguish device-saved from server-synced.</x:v>
      </x:c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C-010</x:v>
      </x:c>
      <x:c r="B14" s="47" t="str">
        <x:v>EvidenceCard</x:v>
      </x:c>
      <x:c r="C14" s="47" t="str">
        <x:v>observed, building, needs-more-evidence, unavailable</x:v>
      </x:c>
      <x:c r="D14" s="47" t="str">
        <x:v>No fake mastery percentage or diagnosis.</x:v>
      </x:c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C-011</x:v>
      </x:c>
      <x:c r="B15" s="47" t="str">
        <x:v>ObjectiveCard</x:v>
      </x:c>
      <x:c r="C15" s="47" t="str">
        <x:v>current, open, due, locked, preview</x:v>
      </x:c>
      <x:c r="D15" s="47" t="str">
        <x:v>Preview cannot produce completion/unlock.</x:v>
      </x:c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C-012</x:v>
      </x:c>
      <x:c r="B16" s="47" t="str">
        <x:v>AudioControl</x:v>
      </x:c>
      <x:c r="C16" s="47" t="str">
        <x:v>ready, playing, paused, loading, unavailable, play-limit-reached</x:v>
      </x:c>
      <x:c r="D16" s="47" t="str">
        <x:v>Client playback count is telemetry, never canonical score authority.</x:v>
      </x:c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C-013</x:v>
      </x:c>
      <x:c r="B17" s="47" t="str">
        <x:v>EmptyState</x:v>
      </x:c>
      <x:c r="C17" s="47" t="str">
        <x:v>nothing-due, no-content, no-search-results, no-data</x:v>
      </x:c>
      <x:c r="D17" s="47" t="str">
        <x:v>Never fabricate recommendation/completion.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C-014</x:v>
      </x:c>
      <x:c r="B18" s="47" t="str">
        <x:v>ErrorState</x:v>
      </x:c>
      <x:c r="C18" s="47" t="str">
        <x:v>retryable, non-retryable, reauth, canonical-refresh</x:v>
      </x:c>
      <x:c r="D18" s="47" t="str">
        <x:v>Recovery action must not create duplicate business command.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C-015</x:v>
      </x:c>
      <x:c r="B19" s="47" t="str">
        <x:v>ContentStatusBadge</x:v>
      </x:c>
      <x:c r="C19" s="47" t="str">
        <x:v>draft, in-review, approved, published, retired, revoked</x:v>
      </x:c>
      <x:c r="D19" s="47" t="str">
        <x:v>Published is immutable; edit action creates new draft/revision.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C-016</x:v>
      </x:c>
      <x:c r="B20" s="47" t="str">
        <x:v>ContentEditor</x:v>
      </x:c>
      <x:c r="C20" s="47" t="str">
        <x:v>clean, dirty, saving, saved, validation-error, conflict</x:v>
      </x:c>
      <x:c r="D20" s="47" t="str">
        <x:v>Source/license completeness shown before publish.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C-017</x:v>
      </x:c>
      <x:c r="B21" s="47" t="str">
        <x:v>DataTable</x:v>
      </x:c>
      <x:c r="C21" s="47" t="str">
        <x:v>loading, populated, empty, filtered, error</x:v>
      </x:c>
      <x:c r="D21" s="47" t="str">
        <x:v>Keyboard accessible; row action permission checked server-side later.</x:v>
      </x:c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C-018</x:v>
      </x:c>
      <x:c r="B22" s="47" t="str">
        <x:v>ModalOrSheet</x:v>
      </x:c>
      <x:c r="C22" s="47" t="str">
        <x:v>open, processing, error</x:v>
      </x:c>
      <x:c r="D22" s="47" t="str">
        <x:v>Destructive/irreversible actions have explicit confirmation and result.</x:v>
      </x:c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b66398062904a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8" hidden="0" customWidth="1"/>
    <x:col min="3" max="3" width="46" hidden="0" customWidth="1"/>
    <x:col min="4" max="4" width="28" hidden="0" customWidth="1"/>
    <x:col min="5" max="5" width="38" hidden="0" customWidth="1"/>
  </x:cols>
  <x:sheetData>
    <x:row r="1" ht="28" customHeight="1">
      <x:c r="A1" s="4" t="str">
        <x:v>PRD → UX → QA TRACEABILITY</x:v>
      </x:c>
      <x:c r="B1" s="4"/>
      <x:c r="C1" s="4"/>
      <x:c r="D1" s="4"/>
      <x:c r="E1" s="4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PRD-01..16 mapped to UX surfaces and named QA cases.</x:v>
      </x:c>
      <x:c r="B2" s="11"/>
      <x:c r="C2" s="11"/>
      <x:c r="D2" s="11"/>
      <x:c r="E2" s="11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PRD</x:v>
      </x:c>
      <x:c r="B4" s="46" t="str">
        <x:v>Requirement</x:v>
      </x:c>
      <x:c r="C4" s="46" t="str">
        <x:v>Screens</x:v>
      </x:c>
      <x:c r="D4" s="46" t="str">
        <x:v>Components</x:v>
      </x:c>
      <x:c r="E4" s="46" t="str">
        <x:v>QA cases</x:v>
      </x:c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PRD-01</x:v>
      </x:c>
      <x:c r="B5" s="47" t="str">
        <x:v>Finite objective-based cycle with clear closure</x:v>
      </x:c>
      <x:c r="C5" s="47" t="str">
        <x:v>L-020,L-021,L-022,L-023,L-024,L-025,L-026,L-027,L-032</x:v>
      </x:c>
      <x:c r="D5" s="47" t="str">
        <x:v>C-007</x:v>
      </x:c>
      <x:c r="E5" s="47" t="str">
        <x:v>QA-LRN-001,QA-LRN-002,QA-LRN-012</x:v>
      </x:c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PRD-02</x:v>
      </x:c>
      <x:c r="B6" s="47" t="str">
        <x:v>First response preserved; guided retry in practice</x:v>
      </x:c>
      <x:c r="C6" s="47" t="str">
        <x:v>L-024,L-029</x:v>
      </x:c>
      <x:c r="D6" s="47" t="str">
        <x:v>C-003,C-005</x:v>
      </x:c>
      <x:c r="E6" s="47" t="str">
        <x:v>QA-LRN-006,QA-LRN-007</x:v>
      </x:c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PRD-03</x:v>
      </x:c>
      <x:c r="B7" s="47" t="str">
        <x:v>Typed hints; assisted != unaided; no pre-submit hint in Check</x:v>
      </x:c>
      <x:c r="C7" s="47" t="str">
        <x:v>L-024,L-027,L-030</x:v>
      </x:c>
      <x:c r="D7" s="47" t="str">
        <x:v>C-006</x:v>
      </x:c>
      <x:c r="E7" s="47" t="str">
        <x:v>QA-LRN-008,QA-LRN-013</x:v>
      </x:c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PRD-04</x:v>
      </x:c>
      <x:c r="B8" s="47" t="str">
        <x:v>Skip logged; not completion/mastery</x:v>
      </x:c>
      <x:c r="C8" s="47" t="str">
        <x:v>L-022,L-024,L-031</x:v>
      </x:c>
      <x:c r="D8" s="47" t="str">
        <x:v>C-005</x:v>
      </x:c>
      <x:c r="E8" s="47" t="str">
        <x:v>QA-LRN-009,QA-BIZ-003</x:v>
      </x:c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PRD-05</x:v>
      </x:c>
      <x:c r="B9" s="47" t="str">
        <x:v>Listening replay support and assessment context</x:v>
      </x:c>
      <x:c r="C9" s="47" t="str">
        <x:v>L-005,L-023,L-027</x:v>
      </x:c>
      <x:c r="D9" s="47" t="str">
        <x:v>C-012</x:v>
      </x:c>
      <x:c r="E9" s="47" t="str">
        <x:v>QA-LRN-014,QA-BIZ-005</x:v>
      </x:c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PRD-06</x:v>
      </x:c>
      <x:c r="B10" s="47" t="str">
        <x:v>Vocabulary/grammar learning sequence</x:v>
      </x:c>
      <x:c r="C10" s="47" t="str">
        <x:v>L-023,L-024,L-025,L-027</x:v>
      </x:c>
      <x:c r="D10" s="47" t="str">
        <x:v>C-004</x:v>
      </x:c>
      <x:c r="E10" s="47" t="str">
        <x:v>QA-LRN-004,QA-LRN-005</x:v>
      </x:c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PRD-07</x:v>
      </x:c>
      <x:c r="B11" s="47" t="str">
        <x:v>Bounded step-up challenge</x:v>
      </x:c>
      <x:c r="C11" s="47" t="str">
        <x:v>L-010,L-041</x:v>
      </x:c>
      <x:c r="D11" s="47" t="str">
        <x:v>C-008,C-011</x:v>
      </x:c>
      <x:c r="E11" s="47" t="str">
        <x:v>QA-BIZ-006</x:v>
      </x:c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PRD-08</x:v>
      </x:c>
      <x:c r="B12" s="47" t="str">
        <x:v>Learner focus with bounded due/prerequisite insertion</x:v>
      </x:c>
      <x:c r="C12" s="47" t="str">
        <x:v>L-010,L-021,L-022,L-041</x:v>
      </x:c>
      <x:c r="D12" s="47" t="str">
        <x:v>C-008</x:v>
      </x:c>
      <x:c r="E12" s="47" t="str">
        <x:v>QA-BIZ-007</x:v>
      </x:c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PRD-09</x:v>
      </x:c>
      <x:c r="B13" s="47" t="str">
        <x:v>Optional short placement; provisional result</x:v>
      </x:c>
      <x:c r="C13" s="47" t="str">
        <x:v>L-004,L-005,L-006</x:v>
      </x:c>
      <x:c r="D13" s="47" t="str">
        <x:v>C-007</x:v>
      </x:c>
      <x:c r="E13" s="47" t="str">
        <x:v>QA-LRN-015,QA-LRN-016</x:v>
      </x:c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PRD-10</x:v>
      </x:c>
      <x:c r="B14" s="47" t="str">
        <x:v>Optional goal; qualitative profile/evidence</x:v>
      </x:c>
      <x:c r="C14" s="47" t="str">
        <x:v>L-003,L-050,L-051,L-052</x:v>
      </x:c>
      <x:c r="D14" s="47" t="str">
        <x:v>C-010</x:v>
      </x:c>
      <x:c r="E14" s="47" t="str">
        <x:v>QA-LRN-017,QA-BIZ-008</x:v>
      </x:c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PRD-11</x:v>
      </x:c>
      <x:c r="B15" s="47" t="str">
        <x:v>Daily target/streak distinct from mastery</x:v>
      </x:c>
      <x:c r="C15" s="47" t="str">
        <x:v>L-010,L-050</x:v>
      </x:c>
      <x:c r="D15" s="47" t="str">
        <x:v>C-010</x:v>
      </x:c>
      <x:c r="E15" s="47" t="str">
        <x:v>QA-BIZ-009</x:v>
      </x:c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PRD-12</x:v>
      </x:c>
      <x:c r="B16" s="47" t="str">
        <x:v>Meaningful rewards only</x:v>
      </x:c>
      <x:c r="C16" s="47" t="str">
        <x:v>L-032,L-050</x:v>
      </x:c>
      <x:c r="D16" s="47" t="str">
        <x:v>C-010</x:v>
      </x:c>
      <x:c r="E16" s="47" t="str">
        <x:v>QA-BIZ-010</x:v>
      </x:c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PRD-13</x:v>
      </x:c>
      <x:c r="B17" s="47" t="str">
        <x:v>Course map, locked preview, evidence-backed reason</x:v>
      </x:c>
      <x:c r="C17" s="47" t="str">
        <x:v>L-010,L-040,L-041,L-042</x:v>
      </x:c>
      <x:c r="D17" s="47" t="str">
        <x:v>C-008,C-011</x:v>
      </x:c>
      <x:c r="E17" s="47" t="str">
        <x:v>QA-LRN-018,QA-BIZ-011</x:v>
      </x:c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PRD-14</x:v>
      </x:c>
      <x:c r="B18" s="47" t="str">
        <x:v>Licensed immutable content and revision pinning</x:v>
      </x:c>
      <x:c r="C18" s="47" t="str">
        <x:v>S-030,S-033,S-035,S-036,S-037,L-041</x:v>
      </x:c>
      <x:c r="D18" s="47" t="str">
        <x:v>C-015,C-016</x:v>
      </x:c>
      <x:c r="E18" s="47" t="str">
        <x:v>QA-STF-006,QA-STF-007,QA-BIZ-012</x:v>
      </x:c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PRD-15</x:v>
      </x:c>
      <x:c r="B19" s="47" t="str">
        <x:v>Command/telemetry/lifecycle separation; offline idempotent/time semantics</x:v>
      </x:c>
      <x:c r="C19" s="47" t="str">
        <x:v>L-011,L-012,L-060,L-061,S-050</x:v>
      </x:c>
      <x:c r="D19" s="47" t="str">
        <x:v>C-009,C-014</x:v>
      </x:c>
      <x:c r="E19" s="47" t="str">
        <x:v>QA-OFF-001,QA-OFF-002,QA-OFF-004,QA-BIZ-013</x:v>
      </x:c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PRD-16</x:v>
      </x:c>
      <x:c r="B20" s="47" t="str">
        <x:v>Usable deterministic fallback with ML/recommendation disabled</x:v>
      </x:c>
      <x:c r="C20" s="47" t="str">
        <x:v>L-010,L-020,L-063</x:v>
      </x:c>
      <x:c r="D20" s="47" t="str">
        <x:v>C-008,C-013</x:v>
      </x:c>
      <x:c r="E20" s="47" t="str">
        <x:v>QA-LRN-019,QA-BIZ-014</x:v>
      </x:c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d92df69849e42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0" hidden="0" customWidth="1"/>
    <x:col min="5" max="5" width="12" hidden="0" customWidth="1"/>
    <x:col min="6" max="6" width="36" hidden="0" customWidth="1"/>
    <x:col min="7" max="7" width="38" hidden="0" customWidth="1"/>
    <x:col min="8" max="8" width="54" hidden="0" customWidth="1"/>
    <x:col min="9" max="9" width="58" hidden="0" customWidth="1"/>
    <x:col min="10" max="10" width="18" hidden="0" customWidth="1"/>
    <x:col min="11" max="11" width="16" hidden="0" customWidth="1"/>
    <x:col min="12" max="12" width="34" hidden="0" customWidth="1"/>
    <x:col min="13" max="13" width="16" hidden="0" customWidth="1"/>
    <x:col min="14" max="14" width="38" hidden="0" customWidth="1"/>
  </x:cols>
  <x:sheetData>
    <x:row r="1" ht="28" customHeight="1">
      <x:c r="A1" s="4" t="str">
        <x:v>PHASE 2 QA TEST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QA updates Status/Owner/Evidence/Defect; never rewrite Expected just to pass.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Test ID</x:v>
      </x:c>
      <x:c r="B4" s="46" t="str">
        <x:v>Type</x:v>
      </x:c>
      <x:c r="C4" s="46" t="str">
        <x:v>Area</x:v>
      </x:c>
      <x:c r="D4" s="46" t="str">
        <x:v>Priority</x:v>
      </x:c>
      <x:c r="E4" s="46" t="str">
        <x:v>Requirement</x:v>
      </x:c>
      <x:c r="F4" s="46" t="str">
        <x:v>Title</x:v>
      </x:c>
      <x:c r="G4" s="46" t="str">
        <x:v>Precondition</x:v>
      </x:c>
      <x:c r="H4" s="46" t="str">
        <x:v>Steps</x:v>
      </x:c>
      <x:c r="I4" s="46" t="str">
        <x:v>Expected</x:v>
      </x:c>
      <x:c r="J4" s="46" t="str">
        <x:v>Owner</x:v>
      </x:c>
      <x:c r="K4" s="46" t="str">
        <x:v>Status</x:v>
      </x:c>
      <x:c r="L4" s="46" t="str">
        <x:v>Evidence</x:v>
      </x:c>
      <x:c r="M4" s="46" t="str">
        <x:v>Defect</x:v>
      </x:c>
      <x:c r="N4" s="46" t="str">
        <x:v>Retest note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QC</x:v>
      </x:c>
      <x:c r="C5" s="47" t="str">
        <x:v>Artifact QC</x:v>
      </x:c>
      <x:c r="D5" s="47" t="str">
        <x:v>P0</x:v>
      </x:c>
      <x:c r="E5" s="47" t="str"/>
      <x:c r="F5" s="47" t="str">
        <x:v>Required Phase 2 artifacts exist</x:v>
      </x:c>
      <x:c r="G5" s="47" t="str">
        <x:v>Phase 2 package extracted</x:v>
      </x:c>
      <x:c r="H5" s="47" t="str">
        <x:v>Inspect relevant artifacts.</x:v>
      </x:c>
      <x:c r="I5" s="47" t="str">
        <x:v>Every file in handoff index exists and opens.</x:v>
      </x:c>
      <x:c r="J5" s="47" t="str"/>
      <x:c r="K5" s="47" t="str">
        <x:v>PASS</x:v>
      </x:c>
      <x:c r="L5" s="47" t="str">
        <x:v>Manifest + package inventory independently verified.</x:v>
      </x:c>
      <x:c r="M5" s="47" t="str"/>
      <x:c r="N5" s="47" t="str">
        <x:v>Independent static/artifact audit 2026-09-27</x:v>
      </x:c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QC</x:v>
      </x:c>
      <x:c r="C6" s="47" t="str">
        <x:v>Artifact QC</x:v>
      </x:c>
      <x:c r="D6" s="47" t="str">
        <x:v>P0</x:v>
      </x:c>
      <x:c r="E6" s="47" t="str"/>
      <x:c r="F6" s="47" t="str">
        <x:v>V3.2 remains untouched</x:v>
      </x:c>
      <x:c r="G6" s="47" t="str">
        <x:v>Phase 2 package extracted</x:v>
      </x:c>
      <x:c r="H6" s="47" t="str">
        <x:v>Inspect relevant artifacts.</x:v>
      </x:c>
      <x:c r="I6" s="47" t="str">
        <x:v>No Phase 2 artifact silently modifies original V3.2 source.</x:v>
      </x:c>
      <x:c r="J6" s="47" t="str"/>
      <x:c r="K6" s="47" t="str">
        <x:v>PASS</x:v>
      </x:c>
      <x:c r="L6" s="47" t="str">
        <x:v>V3.2 provenance present; no baseline mutation detected in Phase 2 package.</x:v>
      </x:c>
      <x:c r="M6" s="47" t="str"/>
      <x:c r="N6" s="47" t="str">
        <x:v>Independent static/artifact audit 2026-09-27</x:v>
      </x:c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QC</x:v>
      </x:c>
      <x:c r="C7" s="47" t="str">
        <x:v>Artifact QC</x:v>
      </x:c>
      <x:c r="D7" s="47" t="str">
        <x:v>P0</x:v>
      </x:c>
      <x:c r="E7" s="47" t="str"/>
      <x:c r="F7" s="47" t="str">
        <x:v>Phase boundary is explicit</x:v>
      </x:c>
      <x:c r="G7" s="47" t="str">
        <x:v>Phase 2 package extracted</x:v>
      </x:c>
      <x:c r="H7" s="47" t="str">
        <x:v>Inspect relevant artifacts.</x:v>
      </x:c>
      <x:c r="I7" s="47" t="str">
        <x:v>Docs identify Phase 3+ behavior as future/deferred, not implemented.</x:v>
      </x:c>
      <x:c r="J7" s="47" t="str"/>
      <x:c r="K7" s="47" t="str">
        <x:v>PASS</x:v>
      </x:c>
      <x:c r="L7" s="47" t="str">
        <x:v>Phase 3+ behavior is explicitly marked deferred/future.</x:v>
      </x:c>
      <x:c r="M7" s="47" t="str"/>
      <x:c r="N7" s="47" t="str">
        <x:v>Independent static/artifact audit 2026-09-27</x:v>
      </x:c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QC</x:v>
      </x:c>
      <x:c r="C8" s="47" t="str">
        <x:v>Artifact QC</x:v>
      </x:c>
      <x:c r="D8" s="47" t="str">
        <x:v>P0</x:v>
      </x:c>
      <x:c r="E8" s="47" t="str"/>
      <x:c r="F8" s="47" t="str">
        <x:v>Screen IDs unique</x:v>
      </x:c>
      <x:c r="G8" s="47" t="str">
        <x:v>Phase 2 package extracted</x:v>
      </x:c>
      <x:c r="H8" s="47" t="str">
        <x:v>Inspect relevant artifacts.</x:v>
      </x:c>
      <x:c r="I8" s="47" t="str">
        <x:v>All learner/staff screen IDs are unique and traceable.</x:v>
      </x:c>
      <x:c r="J8" s="47" t="str"/>
      <x:c r="K8" s="47" t="str">
        <x:v>PASS</x:v>
      </x:c>
      <x:c r="L8" s="47" t="str">
        <x:v>57 screen IDs checked; no duplicate IDs found.</x:v>
      </x:c>
      <x:c r="M8" s="47" t="str"/>
      <x:c r="N8" s="47" t="str">
        <x:v>Independent static/artifact audit 2026-09-27</x:v>
      </x:c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QC</x:v>
      </x:c>
      <x:c r="C9" s="47" t="str">
        <x:v>Artifact QC</x:v>
      </x:c>
      <x:c r="D9" s="47" t="str">
        <x:v>P0</x:v>
      </x:c>
      <x:c r="E9" s="47" t="str"/>
      <x:c r="F9" s="47" t="str">
        <x:v>Routes documented</x:v>
      </x:c>
      <x:c r="G9" s="47" t="str">
        <x:v>Phase 2 package extracted</x:v>
      </x:c>
      <x:c r="H9" s="47" t="str">
        <x:v>Inspect relevant artifacts.</x:v>
      </x:c>
      <x:c r="I9" s="47" t="str">
        <x:v>Every inventory screen has a route or overlay identity.</x:v>
      </x:c>
      <x:c r="J9" s="47" t="str"/>
      <x:c r="K9" s="47" t="str">
        <x:v>PASS</x:v>
      </x:c>
      <x:c r="L9" s="47" t="str">
        <x:v>Screen inventory contains route/overlay identity.</x:v>
      </x:c>
      <x:c r="M9" s="47" t="str"/>
      <x:c r="N9" s="47" t="str">
        <x:v>Independent static/artifact audit 2026-09-27</x:v>
      </x:c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QC</x:v>
      </x:c>
      <x:c r="C10" s="47" t="str">
        <x:v>Artifact QC</x:v>
      </x:c>
      <x:c r="D10" s="47" t="str">
        <x:v>P0</x:v>
      </x:c>
      <x:c r="E10" s="47" t="str"/>
      <x:c r="F10" s="47" t="str">
        <x:v>PRD traceability complete</x:v>
      </x:c>
      <x:c r="G10" s="47" t="str">
        <x:v>Phase 2 package extracted</x:v>
      </x:c>
      <x:c r="H10" s="47" t="str">
        <x:v>Inspect relevant artifacts.</x:v>
      </x:c>
      <x:c r="I10" s="47" t="str">
        <x:v>PRD-01..PRD-16 all map to UX surfaces and QA cases.</x:v>
      </x:c>
      <x:c r="J10" s="47" t="str"/>
      <x:c r="K10" s="47" t="str">
        <x:v>PASS</x:v>
      </x:c>
      <x:c r="L10" s="47" t="str">
        <x:v>PRD-01..PRD-16 present in traceability.</x:v>
      </x:c>
      <x:c r="M10" s="47" t="str"/>
      <x:c r="N10" s="47" t="str">
        <x:v>Independent static/artifact audit 2026-09-27</x:v>
      </x:c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QC</x:v>
      </x:c>
      <x:c r="C11" s="47" t="str">
        <x:v>Artifact QC</x:v>
      </x:c>
      <x:c r="D11" s="47" t="str">
        <x:v>P0</x:v>
      </x:c>
      <x:c r="E11" s="47" t="str"/>
      <x:c r="F11" s="47" t="str">
        <x:v>Locked vs hypothesis language</x:v>
      </x:c>
      <x:c r="G11" s="47" t="str">
        <x:v>Phase 2 package extracted</x:v>
      </x:c>
      <x:c r="H11" s="47" t="str">
        <x:v>Inspect relevant artifacts.</x:v>
      </x:c>
      <x:c r="I11" s="47" t="str">
        <x:v>5m/retry/replay/placement thresholds are labelled hypotheses where applicable.</x:v>
      </x:c>
      <x:c r="J11" s="47" t="str"/>
      <x:c r="K11" s="47" t="str">
        <x:v>PASS</x:v>
      </x:c>
      <x:c r="L11" s="47" t="str">
        <x:v>5-minute/retry/replay/placement thresholds are described as hypotheses/configurable where applicable.</x:v>
      </x:c>
      <x:c r="M11" s="47" t="str"/>
      <x:c r="N11" s="47" t="str">
        <x:v>Independent static/artifact audit 2026-09-27</x:v>
      </x:c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QC</x:v>
      </x:c>
      <x:c r="C12" s="47" t="str">
        <x:v>Artifact QC</x:v>
      </x:c>
      <x:c r="D12" s="47" t="str">
        <x:v>P0</x:v>
      </x:c>
      <x:c r="E12" s="47" t="str"/>
      <x:c r="F12" s="47" t="str">
        <x:v>No false learning claims</x:v>
      </x:c>
      <x:c r="G12" s="47" t="str">
        <x:v>Phase 2 package extracted</x:v>
      </x:c>
      <x:c r="H12" s="47" t="str">
        <x:v>Inspect relevant artifacts.</x:v>
      </x:c>
      <x:c r="I12" s="47" t="str">
        <x:v>No precise mastery/diagnosis/efficacy claim appears in learner copy.</x:v>
      </x:c>
      <x:c r="J12" s="47" t="str"/>
      <x:c r="K12" s="47" t="str">
        <x:v>PASS</x:v>
      </x:c>
      <x:c r="L12" s="47" t="str">
        <x:v>No precise learner-facing mastery percentage/diagnosis claim found in audited copy.</x:v>
      </x:c>
      <x:c r="M12" s="47" t="str"/>
      <x:c r="N12" s="47" t="str">
        <x:v>Independent static/artifact audit 2026-09-27</x:v>
      </x:c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QC</x:v>
      </x:c>
      <x:c r="C13" s="47" t="str">
        <x:v>Artifact QC</x:v>
      </x:c>
      <x:c r="D13" s="47" t="str">
        <x:v>P0</x:v>
      </x:c>
      <x:c r="E13" s="47" t="str"/>
      <x:c r="F13" s="47" t="str">
        <x:v>No credential material</x:v>
      </x:c>
      <x:c r="G13" s="47" t="str">
        <x:v>Phase 2 package extracted</x:v>
      </x:c>
      <x:c r="H13" s="47" t="str">
        <x:v>Inspect relevant artifacts.</x:v>
      </x:c>
      <x:c r="I13" s="47" t="str">
        <x:v>No password/token/secret URL in Phase 2 package.</x:v>
      </x:c>
      <x:c r="J13" s="47" t="str"/>
      <x:c r="K13" s="47" t="str">
        <x:v>PASS</x:v>
      </x:c>
      <x:c r="L13" s="47" t="str">
        <x:v>Static verifier found no obvious credential material.</x:v>
      </x:c>
      <x:c r="M13" s="47" t="str"/>
      <x:c r="N13" s="47" t="str">
        <x:v>Independent static/artifact audit 2026-09-27</x:v>
      </x:c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QC</x:v>
      </x:c>
      <x:c r="C14" s="47" t="str">
        <x:v>Artifact QC</x:v>
      </x:c>
      <x:c r="D14" s="47" t="str">
        <x:v>P0</x:v>
      </x:c>
      <x:c r="E14" s="47" t="str"/>
      <x:c r="F14" s="47" t="str">
        <x:v>Prototype is self-contained</x:v>
      </x:c>
      <x:c r="G14" s="47" t="str">
        <x:v>Phase 2 package extracted</x:v>
      </x:c>
      <x:c r="H14" s="47" t="str">
        <x:v>Inspect relevant artifacts.</x:v>
      </x:c>
      <x:c r="I14" s="47" t="str">
        <x:v>No external CDN/network dependency is required to render prototype.</x:v>
      </x:c>
      <x:c r="J14" s="47" t="str"/>
      <x:c r="K14" s="47" t="str">
        <x:v>PASS</x:v>
      </x:c>
      <x:c r="L14" s="47" t="str">
        <x:v>Prototype package is self-contained and verifier reports no external dependency.</x:v>
      </x:c>
      <x:c r="M14" s="47" t="str"/>
      <x:c r="N14" s="47" t="str">
        <x:v>Independent static/artifact audit 2026-09-27</x:v>
      </x:c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QA-NAV-001</x:v>
      </x:c>
      <x:c r="B15" s="47" t="str">
        <x:v>QA</x:v>
      </x:c>
      <x:c r="C15" s="47" t="str">
        <x:v>Navigation/IA</x:v>
      </x:c>
      <x:c r="D15" s="47" t="str">
        <x:v>P1</x:v>
      </x:c>
      <x:c r="E15" s="47" t="str"/>
      <x:c r="F15" s="47" t="str">
        <x:v>Learner top-level IA</x:v>
      </x:c>
      <x:c r="G15" s="47" t="str">
        <x:v>Prototype available</x:v>
      </x:c>
      <x:c r="H15" s="47" t="str">
        <x:v>Open prototype learner shell.</x:v>
      </x:c>
      <x:c r="I15" s="47" t="str">
        <x:v>Bottom navigation exposes only Home, Learn, Course, Profile.</x:v>
      </x:c>
      <x:c r="J15" s="47" t="str"/>
      <x:c r="K15" s="47" t="str">
        <x:v>NOT RUN</x:v>
      </x:c>
      <x:c r="L15" s="47" t="str"/>
      <x:c r="M15" s="47" t="str"/>
      <x:c r="N15" s="47" t="str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QA-NAV-002</x:v>
      </x:c>
      <x:c r="B16" s="47" t="str">
        <x:v>QA</x:v>
      </x:c>
      <x:c r="C16" s="47" t="str">
        <x:v>Navigation/IA</x:v>
      </x:c>
      <x:c r="D16" s="47" t="str">
        <x:v>P1</x:v>
      </x:c>
      <x:c r="E16" s="47" t="str"/>
      <x:c r="F16" s="47" t="str">
        <x:v>Onboarding outside main shell</x:v>
      </x:c>
      <x:c r="G16" s="47" t="str">
        <x:v>Prototype available</x:v>
      </x:c>
      <x:c r="H16" s="47" t="str">
        <x:v>Open Welcome/Goal/Placement.</x:v>
      </x:c>
      <x:c r="I16" s="47" t="str">
        <x:v>Main bottom navigation is absent until main shell.</x:v>
      </x:c>
      <x:c r="J16" s="47" t="str"/>
      <x:c r="K16" s="47" t="str">
        <x:v>NOT RUN</x:v>
      </x:c>
      <x:c r="L16" s="47" t="str"/>
      <x:c r="M16" s="47" t="str"/>
      <x:c r="N16" s="47" t="str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QA-NAV-003</x:v>
      </x:c>
      <x:c r="B17" s="47" t="str">
        <x:v>QA</x:v>
      </x:c>
      <x:c r="C17" s="47" t="str">
        <x:v>Navigation/IA</x:v>
      </x:c>
      <x:c r="D17" s="47" t="str">
        <x:v>P1</x:v>
      </x:c>
      <x:c r="E17" s="47" t="str"/>
      <x:c r="F17" s="47" t="str">
        <x:v>Home purpose</x:v>
      </x:c>
      <x:c r="G17" s="47" t="str">
        <x:v>Prototype available</x:v>
      </x:c>
      <x:c r="H17" s="47" t="str">
        <x:v>Open Home.</x:v>
      </x:c>
      <x:c r="I17" s="47" t="str">
        <x:v>Primary next action, reason and approximate duration are understandable.</x:v>
      </x:c>
      <x:c r="J17" s="47" t="str"/>
      <x:c r="K17" s="47" t="str">
        <x:v>NOT RUN</x:v>
      </x:c>
      <x:c r="L17" s="47" t="str"/>
      <x:c r="M17" s="47" t="str"/>
      <x:c r="N17" s="47" t="str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QA-NAV-004</x:v>
      </x:c>
      <x:c r="B18" s="47" t="str">
        <x:v>QA</x:v>
      </x:c>
      <x:c r="C18" s="47" t="str">
        <x:v>Navigation/IA</x:v>
      </x:c>
      <x:c r="D18" s="47" t="str">
        <x:v>P1</x:v>
      </x:c>
      <x:c r="E18" s="47" t="str"/>
      <x:c r="F18" s="47" t="str">
        <x:v>Learn purpose</x:v>
      </x:c>
      <x:c r="G18" s="47" t="str">
        <x:v>Prototype available</x:v>
      </x:c>
      <x:c r="H18" s="47" t="str">
        <x:v>Open Learn.</x:v>
      </x:c>
      <x:c r="I18" s="47" t="str">
        <x:v>Finite cycle start/resume is prominent; no endless-feed affordance.</x:v>
      </x:c>
      <x:c r="J18" s="47" t="str"/>
      <x:c r="K18" s="47" t="str">
        <x:v>NOT RUN</x:v>
      </x:c>
      <x:c r="L18" s="47" t="str"/>
      <x:c r="M18" s="47" t="str"/>
      <x:c r="N18" s="47" t="str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QA-NAV-005</x:v>
      </x:c>
      <x:c r="B19" s="47" t="str">
        <x:v>QA</x:v>
      </x:c>
      <x:c r="C19" s="47" t="str">
        <x:v>Navigation/IA</x:v>
      </x:c>
      <x:c r="D19" s="47" t="str">
        <x:v>P1</x:v>
      </x:c>
      <x:c r="E19" s="47" t="str"/>
      <x:c r="F19" s="47" t="str">
        <x:v>Course purpose</x:v>
      </x:c>
      <x:c r="G19" s="47" t="str">
        <x:v>Prototype available</x:v>
      </x:c>
      <x:c r="H19" s="47" t="str">
        <x:v>Open Course.</x:v>
      </x:c>
      <x:c r="I19" s="47" t="str">
        <x:v>Open/current/due/locked/preview states are distinguishable.</x:v>
      </x:c>
      <x:c r="J19" s="47" t="str"/>
      <x:c r="K19" s="47" t="str">
        <x:v>NOT RUN</x:v>
      </x:c>
      <x:c r="L19" s="47" t="str"/>
      <x:c r="M19" s="47" t="str"/>
      <x:c r="N19" s="47" t="str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QA-NAV-006</x:v>
      </x:c>
      <x:c r="B20" s="47" t="str">
        <x:v>QA</x:v>
      </x:c>
      <x:c r="C20" s="47" t="str">
        <x:v>Navigation/IA</x:v>
      </x:c>
      <x:c r="D20" s="47" t="str">
        <x:v>P1</x:v>
      </x:c>
      <x:c r="E20" s="47" t="str"/>
      <x:c r="F20" s="47" t="str">
        <x:v>Profile purpose</x:v>
      </x:c>
      <x:c r="G20" s="47" t="str">
        <x:v>Prototype available</x:v>
      </x:c>
      <x:c r="H20" s="47" t="str">
        <x:v>Open Profile.</x:v>
      </x:c>
      <x:c r="I20" s="47" t="str">
        <x:v>Goal, qualitative evidence and settings are separated from mastery claims.</x:v>
      </x:c>
      <x:c r="J20" s="47" t="str"/>
      <x:c r="K20" s="47" t="str">
        <x:v>NOT RUN</x:v>
      </x:c>
      <x:c r="L20" s="47" t="str"/>
      <x:c r="M20" s="47" t="str"/>
      <x:c r="N20" s="47" t="str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 t="str">
        <x:v>QA-NAV-007</x:v>
      </x:c>
      <x:c r="B21" s="47" t="str">
        <x:v>QA</x:v>
      </x:c>
      <x:c r="C21" s="47" t="str">
        <x:v>Navigation/IA</x:v>
      </x:c>
      <x:c r="D21" s="47" t="str">
        <x:v>P1</x:v>
      </x:c>
      <x:c r="E21" s="47" t="str"/>
      <x:c r="F21" s="47" t="str">
        <x:v>Staff IA</x:v>
      </x:c>
      <x:c r="G21" s="47" t="str">
        <x:v>Prototype available</x:v>
      </x:c>
      <x:c r="H21" s="47" t="str">
        <x:v>Switch to staff surface.</x:v>
      </x:c>
      <x:c r="I21" s="47" t="str">
        <x:v>Sidebar has Dashboard, Learners, Content, Interventions, Analytics, Administration.</x:v>
      </x:c>
      <x:c r="J21" s="47" t="str"/>
      <x:c r="K21" s="47" t="str">
        <x:v>NOT RUN</x:v>
      </x:c>
      <x:c r="L21" s="47" t="str"/>
      <x:c r="M21" s="47" t="str"/>
      <x:c r="N21" s="47" t="str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 t="str">
        <x:v>QA-NAV-008</x:v>
      </x:c>
      <x:c r="B22" s="47" t="str">
        <x:v>QA</x:v>
      </x:c>
      <x:c r="C22" s="47" t="str">
        <x:v>Navigation/IA</x:v>
      </x:c>
      <x:c r="D22" s="47" t="str">
        <x:v>P1</x:v>
      </x:c>
      <x:c r="E22" s="47" t="str"/>
      <x:c r="F22" s="47" t="str">
        <x:v>Publishing nested in Content</x:v>
      </x:c>
      <x:c r="G22" s="47" t="str">
        <x:v>Prototype available</x:v>
      </x:c>
      <x:c r="H22" s="47" t="str">
        <x:v>Open Content.</x:v>
      </x:c>
      <x:c r="I22" s="47" t="str">
        <x:v>Publishing states are within Content lifecycle, not separate top-level product domain.</x:v>
      </x:c>
      <x:c r="J22" s="47" t="str"/>
      <x:c r="K22" s="47" t="str">
        <x:v>NOT RUN</x:v>
      </x:c>
      <x:c r="L22" s="47" t="str"/>
      <x:c r="M22" s="47" t="str"/>
      <x:c r="N22" s="47" t="str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 t="str">
        <x:v>QA-NAV-009</x:v>
      </x:c>
      <x:c r="B23" s="47" t="str">
        <x:v>QA</x:v>
      </x:c>
      <x:c r="C23" s="47" t="str">
        <x:v>Navigation/IA</x:v>
      </x:c>
      <x:c r="D23" s="47" t="str">
        <x:v>P1</x:v>
      </x:c>
      <x:c r="E23" s="47" t="str"/>
      <x:c r="F23" s="47" t="str">
        <x:v>Role visibility disclaimer</x:v>
      </x:c>
      <x:c r="G23" s="47" t="str">
        <x:v>Prototype available</x:v>
      </x:c>
      <x:c r="H23" s="47" t="str">
        <x:v>Inspect staff spec.</x:v>
      </x:c>
      <x:c r="I23" s="47" t="str">
        <x:v>Docs state menu visibility is not authorization.</x:v>
      </x:c>
      <x:c r="J23" s="47" t="str"/>
      <x:c r="K23" s="47" t="str">
        <x:v>NOT RUN</x:v>
      </x:c>
      <x:c r="L23" s="47" t="str"/>
      <x:c r="M23" s="47" t="str"/>
      <x:c r="N23" s="47" t="str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 t="str">
        <x:v>QA-NAV-010</x:v>
      </x:c>
      <x:c r="B24" s="47" t="str">
        <x:v>QA</x:v>
      </x:c>
      <x:c r="C24" s="47" t="str">
        <x:v>Navigation/IA</x:v>
      </x:c>
      <x:c r="D24" s="47" t="str">
        <x:v>P1</x:v>
      </x:c>
      <x:c r="E24" s="47" t="str"/>
      <x:c r="F24" s="47" t="str">
        <x:v>Deep-link constraints</x:v>
      </x:c>
      <x:c r="G24" s="47" t="str">
        <x:v>Prototype available</x:v>
      </x:c>
      <x:c r="H24" s="47" t="str">
        <x:v>Inspect routing spec.</x:v>
      </x:c>
      <x:c r="I24" s="47" t="str">
        <x:v>Deep-link rules require eligibility/permission re-check and no duplicate submit.</x:v>
      </x:c>
      <x:c r="J24" s="47" t="str"/>
      <x:c r="K24" s="47" t="str">
        <x:v>NOT RUN</x:v>
      </x:c>
      <x:c r="L24" s="47" t="str"/>
      <x:c r="M24" s="47" t="str"/>
      <x:c r="N24" s="47" t="str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7" t="str">
        <x:v>QA-LRN-001</x:v>
      </x:c>
      <x:c r="B25" s="47" t="str">
        <x:v>QA</x:v>
      </x:c>
      <x:c r="C25" s="47" t="str">
        <x:v>Learner</x:v>
      </x:c>
      <x:c r="D25" s="47" t="str">
        <x:v>P0</x:v>
      </x:c>
      <x:c r="E25" s="47" t="str">
        <x:v>PRD-01</x:v>
      </x:c>
      <x:c r="F25" s="47" t="str">
        <x:v>Start finite cycle</x:v>
      </x:c>
      <x:c r="G25" s="47" t="str">
        <x:v>Home shows a recommendation</x:v>
      </x:c>
      <x:c r="H25" s="47" t="str">
        <x:v>Select Start cycle and continue through roles.</x:v>
      </x:c>
      <x:c r="I25" s="47" t="str">
        <x:v>Cycle has explicit intro, roles and summary; user explicitly chooses whether to continue.</x:v>
      </x:c>
      <x:c r="J25" s="47" t="str"/>
      <x:c r="K25" s="47" t="str">
        <x:v>NOT RUN</x:v>
      </x:c>
      <x:c r="L25" s="47" t="str"/>
      <x:c r="M25" s="47" t="str"/>
      <x:c r="N25" s="47" t="str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7" t="str">
        <x:v>QA-LRN-002</x:v>
      </x:c>
      <x:c r="B26" s="47" t="str">
        <x:v>QA</x:v>
      </x:c>
      <x:c r="C26" s="47" t="str">
        <x:v>Learner</x:v>
      </x:c>
      <x:c r="D26" s="47" t="str">
        <x:v>P1</x:v>
      </x:c>
      <x:c r="E26" s="47" t="str">
        <x:v>PRD-01</x:v>
      </x:c>
      <x:c r="F26" s="47" t="str">
        <x:v>Cycle progress visibility</x:v>
      </x:c>
      <x:c r="G26" s="47" t="str">
        <x:v>Inside cycle</x:v>
      </x:c>
      <x:c r="H26" s="47" t="str">
        <x:v>Observe progress indicator across steps.</x:v>
      </x:c>
      <x:c r="I26" s="47" t="str">
        <x:v>Finite progress is visible and never suggests infinite scroll.</x:v>
      </x:c>
      <x:c r="J26" s="47" t="str"/>
      <x:c r="K26" s="47" t="str">
        <x:v>NOT RUN</x:v>
      </x:c>
      <x:c r="L26" s="47" t="str"/>
      <x:c r="M26" s="47" t="str"/>
      <x:c r="N26" s="47" t="str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7" t="str">
        <x:v>QA-LRN-003</x:v>
      </x:c>
      <x:c r="B27" s="47" t="str">
        <x:v>QA</x:v>
      </x:c>
      <x:c r="C27" s="47" t="str">
        <x:v>Learner</x:v>
      </x:c>
      <x:c r="D27" s="47" t="str">
        <x:v>P1</x:v>
      </x:c>
      <x:c r="E27" s="47" t="str">
        <x:v>PRD-13</x:v>
      </x:c>
      <x:c r="F27" s="47" t="str">
        <x:v>Objective and reason</x:v>
      </x:c>
      <x:c r="G27" s="47" t="str">
        <x:v>Home/cycle intro</x:v>
      </x:c>
      <x:c r="H27" s="47" t="str">
        <x:v>Inspect recommendation/cycle intro copy.</x:v>
      </x:c>
      <x:c r="I27" s="47" t="str">
        <x:v>Objective and factual reason are visible; no inferred mental state.</x:v>
      </x:c>
      <x:c r="J27" s="47" t="str"/>
      <x:c r="K27" s="47" t="str">
        <x:v>NOT RUN</x:v>
      </x:c>
      <x:c r="L27" s="47" t="str"/>
      <x:c r="M27" s="47" t="str"/>
      <x:c r="N27" s="47" t="str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7" t="str">
        <x:v>QA-LRN-004</x:v>
      </x:c>
      <x:c r="B28" s="47" t="str">
        <x:v>QA</x:v>
      </x:c>
      <x:c r="C28" s="47" t="str">
        <x:v>Learner</x:v>
      </x:c>
      <x:c r="D28" s="47" t="str">
        <x:v>P1</x:v>
      </x:c>
      <x:c r="E28" s="47" t="str">
        <x:v>PRD-06</x:v>
      </x:c>
      <x:c r="F28" s="47" t="str">
        <x:v>Learn content is not mastery</x:v>
      </x:c>
      <x:c r="G28" s="47" t="str">
        <x:v>Open Learn content step</x:v>
      </x:c>
      <x:c r="H28" s="47" t="str">
        <x:v>Read explanation and continue.</x:v>
      </x:c>
      <x:c r="I28" s="47" t="str">
        <x:v>UI does not mark objective mastered just for viewing explanation.</x:v>
      </x:c>
      <x:c r="J28" s="47" t="str"/>
      <x:c r="K28" s="47" t="str">
        <x:v>NOT RUN</x:v>
      </x:c>
      <x:c r="L28" s="47" t="str"/>
      <x:c r="M28" s="47" t="str"/>
      <x:c r="N28" s="47" t="str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7" t="str">
        <x:v>QA-LRN-005</x:v>
      </x:c>
      <x:c r="B29" s="47" t="str">
        <x:v>QA</x:v>
      </x:c>
      <x:c r="C29" s="47" t="str">
        <x:v>Learner</x:v>
      </x:c>
      <x:c r="D29" s="47" t="str">
        <x:v>P1</x:v>
      </x:c>
      <x:c r="E29" s="47" t="str">
        <x:v>PRD-02</x:v>
      </x:c>
      <x:c r="F29" s="47" t="str">
        <x:v>Retrieve answer selection</x:v>
      </x:c>
      <x:c r="G29" s="47" t="str">
        <x:v>Open Retrieve</x:v>
      </x:c>
      <x:c r="H29" s="47" t="str">
        <x:v>Select an option without submit.</x:v>
      </x:c>
      <x:c r="I29" s="47" t="str">
        <x:v>Selection is visually distinct from submission/canonical result.</x:v>
      </x:c>
      <x:c r="J29" s="47" t="str"/>
      <x:c r="K29" s="47" t="str">
        <x:v>NOT RUN</x:v>
      </x:c>
      <x:c r="L29" s="47" t="str"/>
      <x:c r="M29" s="47" t="str"/>
      <x:c r="N29" s="47" t="str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7" t="str">
        <x:v>QA-LRN-006</x:v>
      </x:c>
      <x:c r="B30" s="47" t="str">
        <x:v>QA</x:v>
      </x:c>
      <x:c r="C30" s="47" t="str">
        <x:v>Learner</x:v>
      </x:c>
      <x:c r="D30" s="47" t="str">
        <x:v>P0</x:v>
      </x:c>
      <x:c r="E30" s="47" t="str">
        <x:v>PRD-02</x:v>
      </x:c>
      <x:c r="F30" s="47" t="str">
        <x:v>Wrong first response + retry</x:v>
      </x:c>
      <x:c r="G30" s="47" t="str">
        <x:v>Practice retrieve item</x:v>
      </x:c>
      <x:c r="H30" s="47" t="str">
        <x:v>Submit wrong answer, then retry correctly.</x:v>
      </x:c>
      <x:c r="I30" s="47" t="str">
        <x:v>First wrong is acknowledged; retry is clearly practice and does not rewrite first response.</x:v>
      </x:c>
      <x:c r="J30" s="47" t="str"/>
      <x:c r="K30" s="47" t="str">
        <x:v>FAIL</x:v>
      </x:c>
      <x:c r="L30" s="47" t="str">
        <x:v>prototype/app.js: submitRetrieve() treats value 'go' ('Go to school.') as success; correct 'good' is not success.</x:v>
      </x:c>
      <x:c r="M30" s="47" t="str">
        <x:v>P2-D001</x:v>
      </x:c>
      <x:c r="N30" s="47" t="str">
        <x:v>Independent static/artifact audit 2026-09-27</x:v>
      </x:c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7" t="str">
        <x:v>QA-LRN-007</x:v>
      </x:c>
      <x:c r="B31" s="47" t="str">
        <x:v>QA</x:v>
      </x:c>
      <x:c r="C31" s="47" t="str">
        <x:v>Learner</x:v>
      </x:c>
      <x:c r="D31" s="47" t="str">
        <x:v>P1</x:v>
      </x:c>
      <x:c r="E31" s="47" t="str">
        <x:v>PRD-02</x:v>
      </x:c>
      <x:c r="F31" s="47" t="str">
        <x:v>Retry exhausted state</x:v>
      </x:c>
      <x:c r="G31" s="47" t="str">
        <x:v>Practice item after retry</x:v>
      </x:c>
      <x:c r="H31" s="47" t="str">
        <x:v>Use retry then submit again.</x:v>
      </x:c>
      <x:c r="I31" s="47" t="str">
        <x:v>No infinite retry loop; final feedback state is clear.</x:v>
      </x:c>
      <x:c r="J31" s="47" t="str"/>
      <x:c r="K31" s="47" t="str">
        <x:v>FAIL</x:v>
      </x:c>
      <x:c r="L31" s="47" t="str">
        <x:v>Retrieve 'Try once more' resets state with no attempt counter/exhaustion path.</x:v>
      </x:c>
      <x:c r="M31" s="47" t="str">
        <x:v>P2-D005</x:v>
      </x:c>
      <x:c r="N31" s="47" t="str">
        <x:v>Independent static/artifact audit 2026-09-27</x:v>
      </x:c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7" t="str">
        <x:v>QA-LRN-008</x:v>
      </x:c>
      <x:c r="B32" s="47" t="str">
        <x:v>QA</x:v>
      </x:c>
      <x:c r="C32" s="47" t="str">
        <x:v>Learner</x:v>
      </x:c>
      <x:c r="D32" s="47" t="str">
        <x:v>P0</x:v>
      </x:c>
      <x:c r="E32" s="47" t="str">
        <x:v>PRD-03</x:v>
      </x:c>
      <x:c r="F32" s="47" t="str">
        <x:v>Hint assisted state</x:v>
      </x:c>
      <x:c r="G32" s="47" t="str">
        <x:v>Practice item</x:v>
      </x:c>
      <x:c r="H32" s="47" t="str">
        <x:v>Open/use hint then answer.</x:v>
      </x:c>
      <x:c r="I32" s="47" t="str">
        <x:v>UI indicates assistance; copy does not present response as unaided.</x:v>
      </x:c>
      <x:c r="J32" s="47" t="str"/>
      <x:c r="K32" s="47" t="str">
        <x:v>FAIL</x:v>
      </x:c>
      <x:c r="L32" s="47" t="str">
        <x:v>Hint state is overwritten by good/bad feedback after submit; assisted status is not preserved.</x:v>
      </x:c>
      <x:c r="M32" s="47" t="str">
        <x:v>P2-D003</x:v>
      </x:c>
      <x:c r="N32" s="47" t="str">
        <x:v>Independent static/artifact audit 2026-09-27</x:v>
      </x:c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7" t="str">
        <x:v>QA-LRN-009</x:v>
      </x:c>
      <x:c r="B33" s="47" t="str">
        <x:v>QA</x:v>
      </x:c>
      <x:c r="C33" s="47" t="str">
        <x:v>Learner</x:v>
      </x:c>
      <x:c r="D33" s="47" t="str">
        <x:v>P0</x:v>
      </x:c>
      <x:c r="E33" s="47" t="str">
        <x:v>PRD-04</x:v>
      </x:c>
      <x:c r="F33" s="47" t="str">
        <x:v>Skip semantics</x:v>
      </x:c>
      <x:c r="G33" s="47" t="str">
        <x:v>Practice item</x:v>
      </x:c>
      <x:c r="H33" s="47" t="str">
        <x:v>Choose Skip for now and confirm.</x:v>
      </x:c>
      <x:c r="I33" s="47" t="str">
        <x:v>No completion/mastery/reward is granted in copy; learner can continue safely.</x:v>
      </x:c>
      <x:c r="J33" s="47" t="str"/>
      <x:c r="K33" s="47" t="str">
        <x:v>NOT RUN</x:v>
      </x:c>
      <x:c r="L33" s="47" t="str"/>
      <x:c r="M33" s="47" t="str"/>
      <x:c r="N33" s="47" t="str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7" t="str">
        <x:v>QA-LRN-010</x:v>
      </x:c>
      <x:c r="B34" s="47" t="str">
        <x:v>QA</x:v>
      </x:c>
      <x:c r="C34" s="47" t="str">
        <x:v>Learner</x:v>
      </x:c>
      <x:c r="D34" s="47" t="str">
        <x:v>P1</x:v>
      </x:c>
      <x:c r="E34" s="47" t="str">
        <x:v>PRD-06</x:v>
      </x:c>
      <x:c r="F34" s="47" t="str">
        <x:v>Correct feedback tone</x:v>
      </x:c>
      <x:c r="G34" s="47" t="str">
        <x:v>Practice item</x:v>
      </x:c>
      <x:c r="H34" s="47" t="str">
        <x:v>Submit correct answer.</x:v>
      </x:c>
      <x:c r="I34" s="47" t="str">
        <x:v>Feedback is concise/supportive without mastery overclaim.</x:v>
      </x:c>
      <x:c r="J34" s="47" t="str"/>
      <x:c r="K34" s="47" t="str">
        <x:v>NOT RUN</x:v>
      </x:c>
      <x:c r="L34" s="47" t="str"/>
      <x:c r="M34" s="47" t="str"/>
      <x:c r="N34" s="47" t="str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7" t="str">
        <x:v>QA-LRN-011</x:v>
      </x:c>
      <x:c r="B35" s="47" t="str">
        <x:v>QA</x:v>
      </x:c>
      <x:c r="C35" s="47" t="str">
        <x:v>Learner</x:v>
      </x:c>
      <x:c r="D35" s="47" t="str">
        <x:v>P1</x:v>
      </x:c>
      <x:c r="E35" s="47" t="str">
        <x:v>PRD-06</x:v>
      </x:c>
      <x:c r="F35" s="47" t="str">
        <x:v>Transfer step distinction</x:v>
      </x:c>
      <x:c r="G35" s="47" t="str">
        <x:v>Reach Transfer</x:v>
      </x:c>
      <x:c r="H35" s="47" t="str">
        <x:v>Compare Retrieve and Transfer wording/context.</x:v>
      </x:c>
      <x:c r="I35" s="47" t="str">
        <x:v>Transfer changes cue/context and is not labelled as level-up.</x:v>
      </x:c>
      <x:c r="J35" s="47" t="str"/>
      <x:c r="K35" s="47" t="str">
        <x:v>NOT RUN</x:v>
      </x:c>
      <x:c r="L35" s="47" t="str"/>
      <x:c r="M35" s="47" t="str"/>
      <x:c r="N35" s="47" t="str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7" t="str">
        <x:v>QA-LRN-012</x:v>
      </x:c>
      <x:c r="B36" s="47" t="str">
        <x:v>QA</x:v>
      </x:c>
      <x:c r="C36" s="47" t="str">
        <x:v>Learner</x:v>
      </x:c>
      <x:c r="D36" s="47" t="str">
        <x:v>P1</x:v>
      </x:c>
      <x:c r="E36" s="47" t="str">
        <x:v>PRD-01</x:v>
      </x:c>
      <x:c r="F36" s="47" t="str">
        <x:v>Cycle summary</x:v>
      </x:c>
      <x:c r="G36" s="47" t="str">
        <x:v>Complete cycle</x:v>
      </x:c>
      <x:c r="H36" s="47" t="str">
        <x:v>Inspect summary.</x:v>
      </x:c>
      <x:c r="I36" s="47" t="str">
        <x:v>Shows practiced evidence/needs review/next step, no fake mastery percentage.</x:v>
      </x:c>
      <x:c r="J36" s="47" t="str"/>
      <x:c r="K36" s="47" t="str">
        <x:v>NOT RUN</x:v>
      </x:c>
      <x:c r="L36" s="47" t="str"/>
      <x:c r="M36" s="47" t="str"/>
      <x:c r="N36" s="47" t="str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7" t="str">
        <x:v>QA-LRN-013</x:v>
      </x:c>
      <x:c r="B37" s="47" t="str">
        <x:v>QA</x:v>
      </x:c>
      <x:c r="C37" s="47" t="str">
        <x:v>Learner</x:v>
      </x:c>
      <x:c r="D37" s="47" t="str">
        <x:v>P0</x:v>
      </x:c>
      <x:c r="E37" s="47" t="str">
        <x:v>PRD-03</x:v>
      </x:c>
      <x:c r="F37" s="47" t="str">
        <x:v>Check has no pre-submit hint</x:v>
      </x:c>
      <x:c r="G37" s="47" t="str">
        <x:v>Enter Check</x:v>
      </x:c>
      <x:c r="H37" s="47" t="str">
        <x:v>Inspect available actions before submit.</x:v>
      </x:c>
      <x:c r="I37" s="47" t="str">
        <x:v>Hint action is absent and Check context is explicit.</x:v>
      </x:c>
      <x:c r="J37" s="47" t="str"/>
      <x:c r="K37" s="47" t="str">
        <x:v>NOT RUN</x:v>
      </x:c>
      <x:c r="L37" s="47" t="str"/>
      <x:c r="M37" s="47" t="str"/>
      <x:c r="N37" s="47" t="str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7" t="str">
        <x:v>QA-LRN-014</x:v>
      </x:c>
      <x:c r="B38" s="47" t="str">
        <x:v>QA</x:v>
      </x:c>
      <x:c r="C38" s="47" t="str">
        <x:v>Learner</x:v>
      </x:c>
      <x:c r="D38" s="47" t="str">
        <x:v>P1</x:v>
      </x:c>
      <x:c r="E38" s="47" t="str">
        <x:v>PRD-05</x:v>
      </x:c>
      <x:c r="F38" s="47" t="str">
        <x:v>Listening Check policy copy</x:v>
      </x:c>
      <x:c r="G38" s="47" t="str">
        <x:v>Open listening Check example/spec</x:v>
      </x:c>
      <x:c r="H38" s="47" t="str">
        <x:v>Inspect play control and condition copy.</x:v>
      </x:c>
      <x:c r="I38" s="47" t="str">
        <x:v>Offered play policy can be shown; UI never claims physical listening verification.</x:v>
      </x:c>
      <x:c r="J38" s="47" t="str"/>
      <x:c r="K38" s="47" t="str">
        <x:v>NOT RUN</x:v>
      </x:c>
      <x:c r="L38" s="47" t="str"/>
      <x:c r="M38" s="47" t="str"/>
      <x:c r="N38" s="47" t="str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7" t="str">
        <x:v>QA-LRN-015</x:v>
      </x:c>
      <x:c r="B39" s="47" t="str">
        <x:v>QA</x:v>
      </x:c>
      <x:c r="C39" s="47" t="str">
        <x:v>Learner</x:v>
      </x:c>
      <x:c r="D39" s="47" t="str">
        <x:v>P0</x:v>
      </x:c>
      <x:c r="E39" s="47" t="str">
        <x:v>PRD-09</x:v>
      </x:c>
      <x:c r="F39" s="47" t="str">
        <x:v>Placement optional</x:v>
      </x:c>
      <x:c r="G39" s="47" t="str">
        <x:v>First-use onboarding</x:v>
      </x:c>
      <x:c r="H39" s="47" t="str">
        <x:v>Choose skip placement.</x:v>
      </x:c>
      <x:c r="I39" s="47" t="str">
        <x:v>Learner can continue with provisional/missing evidence state.</x:v>
      </x:c>
      <x:c r="J39" s="47" t="str"/>
      <x:c r="K39" s="47" t="str">
        <x:v>BLOCKED</x:v>
      </x:c>
      <x:c r="L39" s="47" t="str">
        <x:v>Welcome/Goal/Placement screens exist in specs but are not reachable in the clickable prototype.</x:v>
      </x:c>
      <x:c r="M39" s="47" t="str">
        <x:v>P2-D007</x:v>
      </x:c>
      <x:c r="N39" s="47" t="str">
        <x:v>Independent static/artifact audit 2026-09-27</x:v>
      </x:c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7" t="str">
        <x:v>QA-LRN-016</x:v>
      </x:c>
      <x:c r="B40" s="47" t="str">
        <x:v>QA</x:v>
      </x:c>
      <x:c r="C40" s="47" t="str">
        <x:v>Learner</x:v>
      </x:c>
      <x:c r="D40" s="47" t="str">
        <x:v>P1</x:v>
      </x:c>
      <x:c r="E40" s="47" t="str">
        <x:v>PRD-09</x:v>
      </x:c>
      <x:c r="F40" s="47" t="str">
        <x:v>Placement result uncertainty</x:v>
      </x:c>
      <x:c r="G40" s="47" t="str">
        <x:v>Complete/inspect placement result</x:v>
      </x:c>
      <x:c r="H40" s="47" t="str">
        <x:v>Read result language.</x:v>
      </x:c>
      <x:c r="I40" s="47" t="str">
        <x:v>Result is provisional and does not claim external CEFR certification.</x:v>
      </x:c>
      <x:c r="J40" s="47" t="str"/>
      <x:c r="K40" s="47" t="str">
        <x:v>NOT RUN</x:v>
      </x:c>
      <x:c r="L40" s="47" t="str"/>
      <x:c r="M40" s="47" t="str"/>
      <x:c r="N40" s="47" t="str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7" t="str">
        <x:v>QA-LRN-017</x:v>
      </x:c>
      <x:c r="B41" s="47" t="str">
        <x:v>QA</x:v>
      </x:c>
      <x:c r="C41" s="47" t="str">
        <x:v>Learner</x:v>
      </x:c>
      <x:c r="D41" s="47" t="str">
        <x:v>P1</x:v>
      </x:c>
      <x:c r="E41" s="47" t="str">
        <x:v>PRD-10</x:v>
      </x:c>
      <x:c r="F41" s="47" t="str">
        <x:v>Goal editing</x:v>
      </x:c>
      <x:c r="G41" s="47" t="str">
        <x:v>Open Profile &gt; Goal</x:v>
      </x:c>
      <x:c r="H41" s="47" t="str">
        <x:v>Change goal.</x:v>
      </x:c>
      <x:c r="I41" s="47" t="str">
        <x:v>Goal setting is presented as intent, not competence.</x:v>
      </x:c>
      <x:c r="J41" s="47" t="str"/>
      <x:c r="K41" s="47" t="str">
        <x:v>NOT RUN</x:v>
      </x:c>
      <x:c r="L41" s="47" t="str"/>
      <x:c r="M41" s="47" t="str"/>
      <x:c r="N41" s="47" t="str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7" t="str">
        <x:v>QA-LRN-018</x:v>
      </x:c>
      <x:c r="B42" s="47" t="str">
        <x:v>QA</x:v>
      </x:c>
      <x:c r="C42" s="47" t="str">
        <x:v>Learner</x:v>
      </x:c>
      <x:c r="D42" s="47" t="str">
        <x:v>P1</x:v>
      </x:c>
      <x:c r="E42" s="47" t="str">
        <x:v>PRD-13</x:v>
      </x:c>
      <x:c r="F42" s="47" t="str">
        <x:v>Locked objective preview</x:v>
      </x:c>
      <x:c r="G42" s="47" t="str">
        <x:v>Open Course &gt; locked objective</x:v>
      </x:c>
      <x:c r="H42" s="47" t="str">
        <x:v>Open preview.</x:v>
      </x:c>
      <x:c r="I42" s="47" t="str">
        <x:v>Preview is clearly non-progressing and shows prerequisite reason.</x:v>
      </x:c>
      <x:c r="J42" s="47" t="str"/>
      <x:c r="K42" s="47" t="str">
        <x:v>FAIL</x:v>
      </x:c>
      <x:c r="L42" s="47" t="str">
        <x:v>Course Preview button has no action handler in prototype.</x:v>
      </x:c>
      <x:c r="M42" s="47" t="str">
        <x:v>P2-D013</x:v>
      </x:c>
      <x:c r="N42" s="47" t="str">
        <x:v>Independent static/artifact audit 2026-09-27</x:v>
      </x:c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7" t="str">
        <x:v>QA-LRN-019</x:v>
      </x:c>
      <x:c r="B43" s="47" t="str">
        <x:v>QA</x:v>
      </x:c>
      <x:c r="C43" s="47" t="str">
        <x:v>Learner</x:v>
      </x:c>
      <x:c r="D43" s="47" t="str">
        <x:v>P0</x:v>
      </x:c>
      <x:c r="E43" s="47" t="str">
        <x:v>PRD-16</x:v>
      </x:c>
      <x:c r="F43" s="47" t="str">
        <x:v>No recommendation fallback</x:v>
      </x:c>
      <x:c r="G43" s="47" t="str">
        <x:v>Simulate recommendation unavailable</x:v>
      </x:c>
      <x:c r="H43" s="47" t="str">
        <x:v>Open Home/Learn fallback.</x:v>
      </x:c>
      <x:c r="I43" s="47" t="str">
        <x:v>A usable curriculum/due/manual action remains; no AI error dead end.</x:v>
      </x:c>
      <x:c r="J43" s="47" t="str"/>
      <x:c r="K43" s="47" t="str">
        <x:v>NOT RUN</x:v>
      </x:c>
      <x:c r="L43" s="47" t="str"/>
      <x:c r="M43" s="47" t="str"/>
      <x:c r="N43" s="47" t="str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7" t="str">
        <x:v>QA-LRN-020</x:v>
      </x:c>
      <x:c r="B44" s="47" t="str">
        <x:v>QA</x:v>
      </x:c>
      <x:c r="C44" s="47" t="str">
        <x:v>Learner</x:v>
      </x:c>
      <x:c r="D44" s="47" t="str">
        <x:v>P1</x:v>
      </x:c>
      <x:c r="E44" s="47" t="str">
        <x:v>PRD-16</x:v>
      </x:c>
      <x:c r="F44" s="47" t="str">
        <x:v>Nothing due state</x:v>
      </x:c>
      <x:c r="G44" s="47" t="str">
        <x:v>Simulate no eligible item</x:v>
      </x:c>
      <x:c r="H44" s="47" t="str">
        <x:v>Open empty state.</x:v>
      </x:c>
      <x:c r="I44" s="47" t="str">
        <x:v>Honest empty/content-gap copy; no fabricated completion.</x:v>
      </x:c>
      <x:c r="J44" s="47" t="str"/>
      <x:c r="K44" s="47" t="str">
        <x:v>NOT RUN</x:v>
      </x:c>
      <x:c r="L44" s="47" t="str"/>
      <x:c r="M44" s="47" t="str"/>
      <x:c r="N44" s="47" t="str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7" t="str">
        <x:v>QA-STF-001</x:v>
      </x:c>
      <x:c r="B45" s="47" t="str">
        <x:v>QA</x:v>
      </x:c>
      <x:c r="C45" s="47" t="str">
        <x:v>Staff</x:v>
      </x:c>
      <x:c r="D45" s="47" t="str">
        <x:v>P1</x:v>
      </x:c>
      <x:c r="E45" s="47" t="str"/>
      <x:c r="F45" s="47" t="str">
        <x:v>Staff dashboard shell</x:v>
      </x:c>
      <x:c r="G45" s="47" t="str">
        <x:v>Staff surface available</x:v>
      </x:c>
      <x:c r="H45" s="47" t="str">
        <x:v>Open Dashboard.</x:v>
      </x:c>
      <x:c r="I45" s="47" t="str">
        <x:v>Operational overview is structured without pretending future data exists.</x:v>
      </x:c>
      <x:c r="J45" s="47" t="str"/>
      <x:c r="K45" s="47" t="str">
        <x:v>NOT RUN</x:v>
      </x:c>
      <x:c r="L45" s="47" t="str"/>
      <x:c r="M45" s="47" t="str"/>
      <x:c r="N45" s="47" t="str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7" t="str">
        <x:v>QA-STF-002</x:v>
      </x:c>
      <x:c r="B46" s="47" t="str">
        <x:v>QA</x:v>
      </x:c>
      <x:c r="C46" s="47" t="str">
        <x:v>Staff</x:v>
      </x:c>
      <x:c r="D46" s="47" t="str">
        <x:v>P1</x:v>
      </x:c>
      <x:c r="E46" s="47" t="str"/>
      <x:c r="F46" s="47" t="str">
        <x:v>Learner list and detail</x:v>
      </x:c>
      <x:c r="G46" s="47" t="str">
        <x:v>Staff surface</x:v>
      </x:c>
      <x:c r="H46" s="47" t="str">
        <x:v>Open Learners then a learner.</x:v>
      </x:c>
      <x:c r="I46" s="47" t="str">
        <x:v>List/detail IA works and evidence/activity sections are distinct.</x:v>
      </x:c>
      <x:c r="J46" s="47" t="str"/>
      <x:c r="K46" s="47" t="str">
        <x:v>NOT RUN</x:v>
      </x:c>
      <x:c r="L46" s="47" t="str"/>
      <x:c r="M46" s="47" t="str"/>
      <x:c r="N46" s="47" t="str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7" t="str">
        <x:v>QA-STF-003</x:v>
      </x:c>
      <x:c r="B47" s="47" t="str">
        <x:v>QA</x:v>
      </x:c>
      <x:c r="C47" s="47" t="str">
        <x:v>Staff</x:v>
      </x:c>
      <x:c r="D47" s="47" t="str">
        <x:v>P1</x:v>
      </x:c>
      <x:c r="E47" s="47" t="str"/>
      <x:c r="F47" s="47" t="str">
        <x:v>No diagnosis language</x:v>
      </x:c>
      <x:c r="G47" s="47" t="str">
        <x:v>Learner detail</x:v>
      </x:c>
      <x:c r="H47" s="47" t="str">
        <x:v>Inspect copy.</x:v>
      </x:c>
      <x:c r="I47" s="47" t="str">
        <x:v>No mental-state diagnosis or unsupported risk truth is presented.</x:v>
      </x:c>
      <x:c r="J47" s="47" t="str"/>
      <x:c r="K47" s="47" t="str">
        <x:v>NOT RUN</x:v>
      </x:c>
      <x:c r="L47" s="47" t="str"/>
      <x:c r="M47" s="47" t="str"/>
      <x:c r="N47" s="47" t="str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7" t="str">
        <x:v>QA-STF-004</x:v>
      </x:c>
      <x:c r="B48" s="47" t="str">
        <x:v>QA</x:v>
      </x:c>
      <x:c r="C48" s="47" t="str">
        <x:v>Staff</x:v>
      </x:c>
      <x:c r="D48" s="47" t="str">
        <x:v>P1</x:v>
      </x:c>
      <x:c r="E48" s="47" t="str"/>
      <x:c r="F48" s="47" t="str">
        <x:v>Content lifecycle navigation</x:v>
      </x:c>
      <x:c r="G48" s="47" t="str">
        <x:v>Content area</x:v>
      </x:c>
      <x:c r="H48" s="47" t="str">
        <x:v>Open Library &gt; Draft &gt; Preview &gt; Review &gt; Published examples.</x:v>
      </x:c>
      <x:c r="I48" s="47" t="str">
        <x:v>Lifecycle is understandable and revision states are explicit.</x:v>
      </x:c>
      <x:c r="J48" s="47" t="str"/>
      <x:c r="K48" s="47" t="str">
        <x:v>NOT RUN</x:v>
      </x:c>
      <x:c r="L48" s="47" t="str"/>
      <x:c r="M48" s="47" t="str"/>
      <x:c r="N48" s="47" t="str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7" t="str">
        <x:v>QA-STF-005</x:v>
      </x:c>
      <x:c r="B49" s="47" t="str">
        <x:v>QA</x:v>
      </x:c>
      <x:c r="C49" s="47" t="str">
        <x:v>Staff</x:v>
      </x:c>
      <x:c r="D49" s="47" t="str">
        <x:v>P1</x:v>
      </x:c>
      <x:c r="E49" s="47" t="str"/>
      <x:c r="F49" s="47" t="str">
        <x:v>Draft vs published editability</x:v>
      </x:c>
      <x:c r="G49" s="47" t="str">
        <x:v>Content area</x:v>
      </x:c>
      <x:c r="H49" s="47" t="str">
        <x:v>Compare draft editor and published revision.</x:v>
      </x:c>
      <x:c r="I49" s="47" t="str">
        <x:v>Draft is editable; published view offers create-new-draft rather than edit-in-place.</x:v>
      </x:c>
      <x:c r="J49" s="47" t="str"/>
      <x:c r="K49" s="47" t="str">
        <x:v>NOT RUN</x:v>
      </x:c>
      <x:c r="L49" s="47" t="str"/>
      <x:c r="M49" s="47" t="str"/>
      <x:c r="N49" s="47" t="str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7" t="str">
        <x:v>QA-STF-006</x:v>
      </x:c>
      <x:c r="B50" s="47" t="str">
        <x:v>QA</x:v>
      </x:c>
      <x:c r="C50" s="47" t="str">
        <x:v>Staff</x:v>
      </x:c>
      <x:c r="D50" s="47" t="str">
        <x:v>P1</x:v>
      </x:c>
      <x:c r="E50" s="47" t="str">
        <x:v>PRD-14</x:v>
      </x:c>
      <x:c r="F50" s="47" t="str">
        <x:v>Source/license gate</x:v>
      </x:c>
      <x:c r="G50" s="47" t="str">
        <x:v>Draft editor</x:v>
      </x:c>
      <x:c r="H50" s="47" t="str">
        <x:v>Open Source &amp; License.</x:v>
      </x:c>
      <x:c r="I50" s="47" t="str">
        <x:v>Missing provenance is visibly blocking for publish.</x:v>
      </x:c>
      <x:c r="J50" s="47" t="str"/>
      <x:c r="K50" s="47" t="str">
        <x:v>NOT RUN</x:v>
      </x:c>
      <x:c r="L50" s="47" t="str"/>
      <x:c r="M50" s="47" t="str"/>
      <x:c r="N50" s="47" t="str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7" t="str">
        <x:v>QA-STF-007</x:v>
      </x:c>
      <x:c r="B51" s="47" t="str">
        <x:v>QA</x:v>
      </x:c>
      <x:c r="C51" s="47" t="str">
        <x:v>Staff</x:v>
      </x:c>
      <x:c r="D51" s="47" t="str">
        <x:v>P1</x:v>
      </x:c>
      <x:c r="E51" s="47" t="str">
        <x:v>PRD-14</x:v>
      </x:c>
      <x:c r="F51" s="47" t="str">
        <x:v>Publish confirmation</x:v>
      </x:c>
      <x:c r="G51" s="47" t="str">
        <x:v>Approved content</x:v>
      </x:c>
      <x:c r="H51" s="47" t="str">
        <x:v>Open publish confirmation.</x:v>
      </x:c>
      <x:c r="I51" s="47" t="str">
        <x:v>Copy explains immutable new revision; destructive ambiguity is avoided.</x:v>
      </x:c>
      <x:c r="J51" s="47" t="str"/>
      <x:c r="K51" s="47" t="str">
        <x:v>BLOCKED</x:v>
      </x:c>
      <x:c r="L51" s="47" t="str">
        <x:v>Publish-confirmation path is not implemented in the clickable staff prototype.</x:v>
      </x:c>
      <x:c r="M51" s="47" t="str">
        <x:v>P2-D009</x:v>
      </x:c>
      <x:c r="N51" s="47" t="str">
        <x:v>Independent static/artifact audit 2026-09-27</x:v>
      </x:c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7" t="str">
        <x:v>QA-STF-008</x:v>
      </x:c>
      <x:c r="B52" s="47" t="str">
        <x:v>QA</x:v>
      </x:c>
      <x:c r="C52" s="47" t="str">
        <x:v>Staff</x:v>
      </x:c>
      <x:c r="D52" s="47" t="str">
        <x:v>P1</x:v>
      </x:c>
      <x:c r="E52" s="47" t="str"/>
      <x:c r="F52" s="47" t="str">
        <x:v>Intervention future boundary</x:v>
      </x:c>
      <x:c r="G52" s="47" t="str">
        <x:v>Open Interventions</x:v>
      </x:c>
      <x:c r="H52" s="47" t="str">
        <x:v>Inspect placeholder/state.</x:v>
      </x:c>
      <x:c r="I52" s="47" t="str">
        <x:v>Does not imply Phase 11/12 implementation or causal outcome exists.</x:v>
      </x:c>
      <x:c r="J52" s="47" t="str"/>
      <x:c r="K52" s="47" t="str">
        <x:v>NOT RUN</x:v>
      </x:c>
      <x:c r="L52" s="47" t="str"/>
      <x:c r="M52" s="47" t="str"/>
      <x:c r="N52" s="47" t="str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7" t="str">
        <x:v>QA-STF-009</x:v>
      </x:c>
      <x:c r="B53" s="47" t="str">
        <x:v>QA</x:v>
      </x:c>
      <x:c r="C53" s="47" t="str">
        <x:v>Staff</x:v>
      </x:c>
      <x:c r="D53" s="47" t="str">
        <x:v>P1</x:v>
      </x:c>
      <x:c r="E53" s="47" t="str"/>
      <x:c r="F53" s="47" t="str">
        <x:v>Analytics future boundary</x:v>
      </x:c>
      <x:c r="G53" s="47" t="str">
        <x:v>Open Analytics</x:v>
      </x:c>
      <x:c r="H53" s="47" t="str">
        <x:v>Inspect metric shell.</x:v>
      </x:c>
      <x:c r="I53" s="47" t="str">
        <x:v>Requires time/source definition and does not display invented production metrics.</x:v>
      </x:c>
      <x:c r="J53" s="47" t="str"/>
      <x:c r="K53" s="47" t="str">
        <x:v>NOT RUN</x:v>
      </x:c>
      <x:c r="L53" s="47" t="str"/>
      <x:c r="M53" s="47" t="str"/>
      <x:c r="N53" s="47" t="str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7" t="str">
        <x:v>QA-STF-010</x:v>
      </x:c>
      <x:c r="B54" s="47" t="str">
        <x:v>QA</x:v>
      </x:c>
      <x:c r="C54" s="47" t="str">
        <x:v>Staff</x:v>
      </x:c>
      <x:c r="D54" s="47" t="str">
        <x:v>P1</x:v>
      </x:c>
      <x:c r="E54" s="47" t="str"/>
      <x:c r="F54" s="47" t="str">
        <x:v>Administration authorization note</x:v>
      </x:c>
      <x:c r="G54" s="47" t="str">
        <x:v>Open Administration</x:v>
      </x:c>
      <x:c r="H54" s="47" t="str">
        <x:v>Inspect role/audit surfaces.</x:v>
      </x:c>
      <x:c r="I54" s="47" t="str">
        <x:v>Design never claims sidebar visibility is sufficient authorization.</x:v>
      </x:c>
      <x:c r="J54" s="47" t="str"/>
      <x:c r="K54" s="47" t="str">
        <x:v>NOT RUN</x:v>
      </x:c>
      <x:c r="L54" s="47" t="str"/>
      <x:c r="M54" s="47" t="str"/>
      <x:c r="N54" s="47" t="str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7" t="str">
        <x:v>QA-OFF-001</x:v>
      </x:c>
      <x:c r="B55" s="47" t="str">
        <x:v>QA</x:v>
      </x:c>
      <x:c r="C55" s="47" t="str">
        <x:v>Offline/System</x:v>
      </x:c>
      <x:c r="D55" s="47" t="str">
        <x:v>P1</x:v>
      </x:c>
      <x:c r="E55" s="47" t="str">
        <x:v>PRD-15</x:v>
      </x:c>
      <x:c r="F55" s="47" t="str">
        <x:v>Offline banner</x:v>
      </x:c>
      <x:c r="G55" s="47" t="str">
        <x:v>Learner home</x:v>
      </x:c>
      <x:c r="H55" s="47" t="str">
        <x:v>Enable prototype offline toggle.</x:v>
      </x:c>
      <x:c r="I55" s="47" t="str">
        <x:v>Offline state is visible but non-alarming; available offline actions remain usable.</x:v>
      </x:c>
      <x:c r="J55" s="47" t="str"/>
      <x:c r="K55" s="47" t="str">
        <x:v>NOT RUN</x:v>
      </x:c>
      <x:c r="L55" s="47" t="str"/>
      <x:c r="M55" s="47" t="str"/>
      <x:c r="N55" s="47" t="str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7" t="str">
        <x:v>QA-OFF-002</x:v>
      </x:c>
      <x:c r="B56" s="47" t="str">
        <x:v>QA</x:v>
      </x:c>
      <x:c r="C56" s="47" t="str">
        <x:v>Offline/System</x:v>
      </x:c>
      <x:c r="D56" s="47" t="str">
        <x:v>P0</x:v>
      </x:c>
      <x:c r="E56" s="47" t="str">
        <x:v>PRD-15</x:v>
      </x:c>
      <x:c r="F56" s="47" t="str">
        <x:v>Queued vs synced</x:v>
      </x:c>
      <x:c r="G56" s="47" t="str">
        <x:v>Offline/online transitions</x:v>
      </x:c>
      <x:c r="H56" s="47" t="str">
        <x:v>Submit/simulate queued action then restore connection.</x:v>
      </x:c>
      <x:c r="I56" s="47" t="str">
        <x:v>Copy distinguishes saved on device / waiting to sync / synced.</x:v>
      </x:c>
      <x:c r="J56" s="47" t="str"/>
      <x:c r="K56" s="47" t="str">
        <x:v>FAIL</x:v>
      </x:c>
      <x:c r="L56" s="47" t="str">
        <x:v>Online/offline flag directly drives 'Synced' / 'All caught up' copy without receipt/ack state.</x:v>
      </x:c>
      <x:c r="M56" s="47" t="str">
        <x:v>P2-D004</x:v>
      </x:c>
      <x:c r="N56" s="47" t="str">
        <x:v>Independent static/artifact audit 2026-09-27</x:v>
      </x:c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7" t="str">
        <x:v>QA-OFF-003</x:v>
      </x:c>
      <x:c r="B57" s="47" t="str">
        <x:v>QA</x:v>
      </x:c>
      <x:c r="C57" s="47" t="str">
        <x:v>Offline/System</x:v>
      </x:c>
      <x:c r="D57" s="47" t="str">
        <x:v>P0</x:v>
      </x:c>
      <x:c r="E57" s="47" t="str">
        <x:v>PRD-15</x:v>
      </x:c>
      <x:c r="F57" s="47" t="str">
        <x:v>Sync retry failure</x:v>
      </x:c>
      <x:c r="G57" s="47" t="str">
        <x:v>Sync failure state</x:v>
      </x:c>
      <x:c r="H57" s="47" t="str">
        <x:v>Open Sync Error and Retry.</x:v>
      </x:c>
      <x:c r="I57" s="47" t="str">
        <x:v>Retry is safe and does not encourage duplicate manual submission.</x:v>
      </x:c>
      <x:c r="J57" s="47" t="str"/>
      <x:c r="K57" s="47" t="str">
        <x:v>BLOCKED</x:v>
      </x:c>
      <x:c r="L57" s="47" t="str">
        <x:v>Sync retry failure state is specified but cannot be opened/exercised in prototype.</x:v>
      </x:c>
      <x:c r="M57" s="47" t="str">
        <x:v>P2-D006</x:v>
      </x:c>
      <x:c r="N57" s="47" t="str">
        <x:v>Independent static/artifact audit 2026-09-27</x:v>
      </x:c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7" t="str">
        <x:v>QA-OFF-004</x:v>
      </x:c>
      <x:c r="B58" s="47" t="str">
        <x:v>QA</x:v>
      </x:c>
      <x:c r="C58" s="47" t="str">
        <x:v>Offline/System</x:v>
      </x:c>
      <x:c r="D58" s="47" t="str">
        <x:v>P0</x:v>
      </x:c>
      <x:c r="E58" s="47" t="str">
        <x:v>PRD-15</x:v>
      </x:c>
      <x:c r="F58" s="47" t="str">
        <x:v>Canonical refresh</x:v>
      </x:c>
      <x:c r="G58" s="47" t="str">
        <x:v>Conflict/canonical refresh state</x:v>
      </x:c>
      <x:c r="H58" s="47" t="str">
        <x:v>Inspect recovery action.</x:v>
      </x:c>
      <x:c r="I58" s="47" t="str">
        <x:v>UI refetches canonical state rather than locally overriding server truth.</x:v>
      </x:c>
      <x:c r="J58" s="47" t="str"/>
      <x:c r="K58" s="47" t="str">
        <x:v>BLOCKED</x:v>
      </x:c>
      <x:c r="L58" s="47" t="str">
        <x:v>Canonical refresh state is specified but cannot be opened/exercised in prototype.</x:v>
      </x:c>
      <x:c r="M58" s="47" t="str">
        <x:v>P2-D006</x:v>
      </x:c>
      <x:c r="N58" s="47" t="str">
        <x:v>Independent static/artifact audit 2026-09-27</x:v>
      </x:c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7" t="str">
        <x:v>QA-OFF-005</x:v>
      </x:c>
      <x:c r="B59" s="47" t="str">
        <x:v>QA</x:v>
      </x:c>
      <x:c r="C59" s="47" t="str">
        <x:v>Offline/System</x:v>
      </x:c>
      <x:c r="D59" s="47" t="str">
        <x:v>P1</x:v>
      </x:c>
      <x:c r="E59" s="47" t="str">
        <x:v>PRD-15</x:v>
      </x:c>
      <x:c r="F59" s="47" t="str">
        <x:v>Media unavailable offline</x:v>
      </x:c>
      <x:c r="G59" s="47" t="str">
        <x:v>Learning content</x:v>
      </x:c>
      <x:c r="H59" s="47" t="str">
        <x:v>Simulate unavailable audio/media.</x:v>
      </x:c>
      <x:c r="I59" s="47" t="str">
        <x:v>Valid alternative/sync action shown; no fabricated Check completion.</x:v>
      </x:c>
      <x:c r="J59" s="47" t="str"/>
      <x:c r="K59" s="47" t="str">
        <x:v>NOT RUN</x:v>
      </x:c>
      <x:c r="L59" s="47" t="str"/>
      <x:c r="M59" s="47" t="str"/>
      <x:c r="N59" s="47" t="str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7" t="str">
        <x:v>QA-OFF-006</x:v>
      </x:c>
      <x:c r="B60" s="47" t="str">
        <x:v>QA</x:v>
      </x:c>
      <x:c r="C60" s="47" t="str">
        <x:v>Offline/System</x:v>
      </x:c>
      <x:c r="D60" s="47" t="str">
        <x:v>P1</x:v>
      </x:c>
      <x:c r="E60" s="47" t="str">
        <x:v>PRD-15</x:v>
      </x:c>
      <x:c r="F60" s="47" t="str">
        <x:v>Re-auth state</x:v>
      </x:c>
      <x:c r="G60" s="47" t="str">
        <x:v>Expired session placeholder</x:v>
      </x:c>
      <x:c r="H60" s="47" t="str">
        <x:v>Open re-auth state.</x:v>
      </x:c>
      <x:c r="I60" s="47" t="str">
        <x:v>User is told sign-in is required; local permission bypass is absent.</x:v>
      </x:c>
      <x:c r="J60" s="47" t="str"/>
      <x:c r="K60" s="47" t="str">
        <x:v>NOT RUN</x:v>
      </x:c>
      <x:c r="L60" s="47" t="str"/>
      <x:c r="M60" s="47" t="str"/>
      <x:c r="N60" s="47" t="str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7" t="str">
        <x:v>QA-BIZ-001</x:v>
      </x:c>
      <x:c r="B61" s="47" t="str">
        <x:v>QA</x:v>
      </x:c>
      <x:c r="C61" s="47" t="str">
        <x:v>Business Integrity</x:v>
      </x:c>
      <x:c r="D61" s="47" t="str">
        <x:v>P0</x:v>
      </x:c>
      <x:c r="E61" s="47" t="str"/>
      <x:c r="F61" s="47" t="str">
        <x:v>Server authority language</x:v>
      </x:c>
      <x:c r="G61" s="47" t="str">
        <x:v>All learner result surfaces</x:v>
      </x:c>
      <x:c r="H61" s="47" t="str">
        <x:v>Inspect copy/states around submitting/sync.</x:v>
      </x:c>
      <x:c r="I61" s="47" t="str">
        <x:v>UI does not imply local selection equals canonical scored result.</x:v>
      </x:c>
      <x:c r="J61" s="47" t="str"/>
      <x:c r="K61" s="47" t="str">
        <x:v>NOT RUN</x:v>
      </x:c>
      <x:c r="L61" s="47" t="str"/>
      <x:c r="M61" s="47" t="str"/>
      <x:c r="N61" s="47" t="str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7" t="str">
        <x:v>QA-BIZ-002</x:v>
      </x:c>
      <x:c r="B62" s="47" t="str">
        <x:v>QA</x:v>
      </x:c>
      <x:c r="C62" s="47" t="str">
        <x:v>Business Integrity</x:v>
      </x:c>
      <x:c r="D62" s="47" t="str">
        <x:v>P0</x:v>
      </x:c>
      <x:c r="E62" s="47" t="str"/>
      <x:c r="F62" s="47" t="str">
        <x:v>Completion != mastery</x:v>
      </x:c>
      <x:c r="G62" s="47" t="str">
        <x:v>Cycle summary/profile</x:v>
      </x:c>
      <x:c r="H62" s="47" t="str">
        <x:v>Inspect completion/evidence language.</x:v>
      </x:c>
      <x:c r="I62" s="47" t="str">
        <x:v>Completing a cycle is not labelled mastery/pass unless separate evidence supports it.</x:v>
      </x:c>
      <x:c r="J62" s="47" t="str"/>
      <x:c r="K62" s="47" t="str">
        <x:v>NOT RUN</x:v>
      </x:c>
      <x:c r="L62" s="47" t="str"/>
      <x:c r="M62" s="47" t="str"/>
      <x:c r="N62" s="47" t="str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7" t="str">
        <x:v>QA-BIZ-003</x:v>
      </x:c>
      <x:c r="B63" s="47" t="str">
        <x:v>QA</x:v>
      </x:c>
      <x:c r="C63" s="47" t="str">
        <x:v>Business Integrity</x:v>
      </x:c>
      <x:c r="D63" s="47" t="str">
        <x:v>P0</x:v>
      </x:c>
      <x:c r="E63" s="47" t="str">
        <x:v>PRD-04</x:v>
      </x:c>
      <x:c r="F63" s="47" t="str">
        <x:v>Skip != completion</x:v>
      </x:c>
      <x:c r="G63" s="47" t="str">
        <x:v>Skip path</x:v>
      </x:c>
      <x:c r="H63" s="47" t="str">
        <x:v>Complete a skip interaction.</x:v>
      </x:c>
      <x:c r="I63" s="47" t="str">
        <x:v>No streak/mastery/completion reward copy appears.</x:v>
      </x:c>
      <x:c r="J63" s="47" t="str"/>
      <x:c r="K63" s="47" t="str">
        <x:v>NOT RUN</x:v>
      </x:c>
      <x:c r="L63" s="47" t="str"/>
      <x:c r="M63" s="47" t="str"/>
      <x:c r="N63" s="47" t="str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7" t="str">
        <x:v>QA-BIZ-004</x:v>
      </x:c>
      <x:c r="B64" s="47" t="str">
        <x:v>QA</x:v>
      </x:c>
      <x:c r="C64" s="47" t="str">
        <x:v>Business Integrity</x:v>
      </x:c>
      <x:c r="D64" s="47" t="str">
        <x:v>P0</x:v>
      </x:c>
      <x:c r="E64" s="47" t="str">
        <x:v>PRD-03</x:v>
      </x:c>
      <x:c r="F64" s="47" t="str">
        <x:v>Assisted != unaided</x:v>
      </x:c>
      <x:c r="G64" s="47" t="str">
        <x:v>Hint path</x:v>
      </x:c>
      <x:c r="H64" s="47" t="str">
        <x:v>Use hint then correct.</x:v>
      </x:c>
      <x:c r="I64" s="47" t="str">
        <x:v>Assistance remains visible in evidence/feedback semantics.</x:v>
      </x:c>
      <x:c r="J64" s="47" t="str"/>
      <x:c r="K64" s="47" t="str">
        <x:v>NOT RUN</x:v>
      </x:c>
      <x:c r="L64" s="47" t="str"/>
      <x:c r="M64" s="47" t="str"/>
      <x:c r="N64" s="47" t="str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7" t="str">
        <x:v>QA-BIZ-005</x:v>
      </x:c>
      <x:c r="B65" s="47" t="str">
        <x:v>QA</x:v>
      </x:c>
      <x:c r="C65" s="47" t="str">
        <x:v>Business Integrity</x:v>
      </x:c>
      <x:c r="D65" s="47" t="str">
        <x:v>P0</x:v>
      </x:c>
      <x:c r="E65" s="47" t="str">
        <x:v>PRD-05</x:v>
      </x:c>
      <x:c r="F65" s="47" t="str">
        <x:v>Playback telemetry authority</x:v>
      </x:c>
      <x:c r="G65" s="47" t="str">
        <x:v>Listening surfaces</x:v>
      </x:c>
      <x:c r="H65" s="47" t="str">
        <x:v>Inspect replay language.</x:v>
      </x:c>
      <x:c r="I65" s="47" t="str">
        <x:v>No statement says client replay count proves clean assessment.</x:v>
      </x:c>
      <x:c r="J65" s="47" t="str"/>
      <x:c r="K65" s="47" t="str">
        <x:v>NOT RUN</x:v>
      </x:c>
      <x:c r="L65" s="47" t="str"/>
      <x:c r="M65" s="47" t="str"/>
      <x:c r="N65" s="47" t="str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7" t="str">
        <x:v>QA-BIZ-006</x:v>
      </x:c>
      <x:c r="B66" s="47" t="str">
        <x:v>QA</x:v>
      </x:c>
      <x:c r="C66" s="47" t="str">
        <x:v>Business Integrity</x:v>
      </x:c>
      <x:c r="D66" s="47" t="str">
        <x:v>P0</x:v>
      </x:c>
      <x:c r="E66" s="47" t="str">
        <x:v>PRD-07</x:v>
      </x:c>
      <x:c r="F66" s="47" t="str">
        <x:v>Challenge bounded</x:v>
      </x:c>
      <x:c r="G66" s="47" t="str">
        <x:v>Course/recommendation spec</x:v>
      </x:c>
      <x:c r="H66" s="47" t="str">
        <x:v>Inspect challenge state/rule.</x:v>
      </x:c>
      <x:c r="I66" s="47" t="str">
        <x:v>Challenge does not automatically change level/mastery/unlock.</x:v>
      </x:c>
      <x:c r="J66" s="47" t="str"/>
      <x:c r="K66" s="47" t="str">
        <x:v>NOT RUN</x:v>
      </x:c>
      <x:c r="L66" s="47" t="str"/>
      <x:c r="M66" s="47" t="str"/>
      <x:c r="N66" s="47" t="str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7" t="str">
        <x:v>QA-BIZ-007</x:v>
      </x:c>
      <x:c r="B67" s="47" t="str">
        <x:v>QA</x:v>
      </x:c>
      <x:c r="C67" s="47" t="str">
        <x:v>Business Integrity</x:v>
      </x:c>
      <x:c r="D67" s="47" t="str">
        <x:v>P0</x:v>
      </x:c>
      <x:c r="E67" s="47" t="str">
        <x:v>PRD-08</x:v>
      </x:c>
      <x:c r="F67" s="47" t="str">
        <x:v>Focus/prerequisite</x:v>
      </x:c>
      <x:c r="G67" s="47" t="str">
        <x:v>Course/recommendation spec</x:v>
      </x:c>
      <x:c r="H67" s="47" t="str">
        <x:v>Select locked/focus objective.</x:v>
      </x:c>
      <x:c r="I67" s="47" t="str">
        <x:v>Prerequisite reason is clear and cannot be bypassed by preference.</x:v>
      </x:c>
      <x:c r="J67" s="47" t="str"/>
      <x:c r="K67" s="47" t="str">
        <x:v>NOT RUN</x:v>
      </x:c>
      <x:c r="L67" s="47" t="str"/>
      <x:c r="M67" s="47" t="str"/>
      <x:c r="N67" s="47" t="str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7" t="str">
        <x:v>QA-BIZ-008</x:v>
      </x:c>
      <x:c r="B68" s="47" t="str">
        <x:v>QA</x:v>
      </x:c>
      <x:c r="C68" s="47" t="str">
        <x:v>Business Integrity</x:v>
      </x:c>
      <x:c r="D68" s="47" t="str">
        <x:v>P0</x:v>
      </x:c>
      <x:c r="E68" s="47" t="str">
        <x:v>PRD-10</x:v>
      </x:c>
      <x:c r="F68" s="47" t="str">
        <x:v>Qualitative evidence</x:v>
      </x:c>
      <x:c r="G68" s="47" t="str">
        <x:v>Profile/evidence</x:v>
      </x:c>
      <x:c r="H68" s="47" t="str">
        <x:v>Inspect all evidence cards.</x:v>
      </x:c>
      <x:c r="I68" s="47" t="str">
        <x:v>No fake mastery percentage or diagnosis.</x:v>
      </x:c>
      <x:c r="J68" s="47" t="str"/>
      <x:c r="K68" s="47" t="str">
        <x:v>NOT RUN</x:v>
      </x:c>
      <x:c r="L68" s="47" t="str"/>
      <x:c r="M68" s="47" t="str"/>
      <x:c r="N68" s="47" t="str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7" t="str">
        <x:v>QA-BIZ-009</x:v>
      </x:c>
      <x:c r="B69" s="47" t="str">
        <x:v>QA</x:v>
      </x:c>
      <x:c r="C69" s="47" t="str">
        <x:v>Business Integrity</x:v>
      </x:c>
      <x:c r="D69" s="47" t="str">
        <x:v>P0</x:v>
      </x:c>
      <x:c r="E69" s="47" t="str">
        <x:v>PRD-11</x:v>
      </x:c>
      <x:c r="F69" s="47" t="str">
        <x:v>Streak separate from learning evidence</x:v>
      </x:c>
      <x:c r="G69" s="47" t="str">
        <x:v>Home/profile</x:v>
      </x:c>
      <x:c r="H69" s="47" t="str">
        <x:v>Inspect streak/target presentation.</x:v>
      </x:c>
      <x:c r="I69" s="47" t="str">
        <x:v>Streak is engagement and not shown as skill/mastery.</x:v>
      </x:c>
      <x:c r="J69" s="47" t="str"/>
      <x:c r="K69" s="47" t="str">
        <x:v>NOT RUN</x:v>
      </x:c>
      <x:c r="L69" s="47" t="str"/>
      <x:c r="M69" s="47" t="str"/>
      <x:c r="N69" s="47" t="str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7" t="str">
        <x:v>QA-BIZ-010</x:v>
      </x:c>
      <x:c r="B70" s="47" t="str">
        <x:v>QA</x:v>
      </x:c>
      <x:c r="C70" s="47" t="str">
        <x:v>Business Integrity</x:v>
      </x:c>
      <x:c r="D70" s="47" t="str">
        <x:v>P0</x:v>
      </x:c>
      <x:c r="E70" s="47" t="str">
        <x:v>PRD-12</x:v>
      </x:c>
      <x:c r="F70" s="47" t="str">
        <x:v>Rewards non-authoritative</x:v>
      </x:c>
      <x:c r="G70" s="47" t="str">
        <x:v>Summary/reward surfaces</x:v>
      </x:c>
      <x:c r="H70" s="47" t="str">
        <x:v>Inspect reward copy.</x:v>
      </x:c>
      <x:c r="I70" s="47" t="str">
        <x:v>Rewards do not alter mastery/prerequisite/Check semantics.</x:v>
      </x:c>
      <x:c r="J70" s="47" t="str"/>
      <x:c r="K70" s="47" t="str">
        <x:v>NOT RUN</x:v>
      </x:c>
      <x:c r="L70" s="47" t="str"/>
      <x:c r="M70" s="47" t="str"/>
      <x:c r="N70" s="47" t="str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7" t="str">
        <x:v>QA-BIZ-011</x:v>
      </x:c>
      <x:c r="B71" s="47" t="str">
        <x:v>QA</x:v>
      </x:c>
      <x:c r="C71" s="47" t="str">
        <x:v>Business Integrity</x:v>
      </x:c>
      <x:c r="D71" s="47" t="str">
        <x:v>P0</x:v>
      </x:c>
      <x:c r="E71" s="47" t="str">
        <x:v>PRD-13</x:v>
      </x:c>
      <x:c r="F71" s="47" t="str">
        <x:v>Recommendation reason truthful</x:v>
      </x:c>
      <x:c r="G71" s="47" t="str">
        <x:v>Home recommendation</x:v>
      </x:c>
      <x:c r="H71" s="47" t="str">
        <x:v>Inspect reason copy for due/prerequisite/current.</x:v>
      </x:c>
      <x:c r="I71" s="47" t="str">
        <x:v>Displayed reason matches defined reason category; no invented psychological cause.</x:v>
      </x:c>
      <x:c r="J71" s="47" t="str"/>
      <x:c r="K71" s="47" t="str">
        <x:v>NOT RUN</x:v>
      </x:c>
      <x:c r="L71" s="47" t="str"/>
      <x:c r="M71" s="47" t="str"/>
      <x:c r="N71" s="47" t="str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7" t="str">
        <x:v>QA-BIZ-012</x:v>
      </x:c>
      <x:c r="B72" s="47" t="str">
        <x:v>QA</x:v>
      </x:c>
      <x:c r="C72" s="47" t="str">
        <x:v>Business Integrity</x:v>
      </x:c>
      <x:c r="D72" s="47" t="str">
        <x:v>P0</x:v>
      </x:c>
      <x:c r="E72" s="47" t="str">
        <x:v>PRD-14</x:v>
      </x:c>
      <x:c r="F72" s="47" t="str">
        <x:v>Immutable revision UX</x:v>
      </x:c>
      <x:c r="G72" s="47" t="str">
        <x:v>Staff Content</x:v>
      </x:c>
      <x:c r="H72" s="47" t="str">
        <x:v>Inspect published revision actions.</x:v>
      </x:c>
      <x:c r="I72" s="47" t="str">
        <x:v>No direct edit-in-place; new draft/revision workflow.</x:v>
      </x:c>
      <x:c r="J72" s="47" t="str"/>
      <x:c r="K72" s="47" t="str">
        <x:v>NOT RUN</x:v>
      </x:c>
      <x:c r="L72" s="47" t="str"/>
      <x:c r="M72" s="47" t="str"/>
      <x:c r="N72" s="47" t="str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7" t="str">
        <x:v>QA-BIZ-013</x:v>
      </x:c>
      <x:c r="B73" s="47" t="str">
        <x:v>QA</x:v>
      </x:c>
      <x:c r="C73" s="47" t="str">
        <x:v>Business Integrity</x:v>
      </x:c>
      <x:c r="D73" s="47" t="str">
        <x:v>P0</x:v>
      </x:c>
      <x:c r="E73" s="47" t="str">
        <x:v>PRD-15</x:v>
      </x:c>
      <x:c r="F73" s="47" t="str">
        <x:v>Lifecycle separation</x:v>
      </x:c>
      <x:c r="G73" s="47" t="str">
        <x:v>Staff intervention/analytics spec</x:v>
      </x:c>
      <x:c r="H73" s="47" t="str">
        <x:v>Inspect documented data lifecycle.</x:v>
      </x:c>
      <x:c r="I73" s="47" t="str">
        <x:v>Decision/exposure/execution/outcome are not conflated.</x:v>
      </x:c>
      <x:c r="J73" s="47" t="str"/>
      <x:c r="K73" s="47" t="str">
        <x:v>NOT RUN</x:v>
      </x:c>
      <x:c r="L73" s="47" t="str"/>
      <x:c r="M73" s="47" t="str"/>
      <x:c r="N73" s="47" t="str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7" t="str">
        <x:v>QA-BIZ-014</x:v>
      </x:c>
      <x:c r="B74" s="47" t="str">
        <x:v>QA</x:v>
      </x:c>
      <x:c r="C74" s="47" t="str">
        <x:v>Business Integrity</x:v>
      </x:c>
      <x:c r="D74" s="47" t="str">
        <x:v>P0</x:v>
      </x:c>
      <x:c r="E74" s="47" t="str">
        <x:v>PRD-16</x:v>
      </x:c>
      <x:c r="F74" s="47" t="str">
        <x:v>ML-disabled fallback</x:v>
      </x:c>
      <x:c r="G74" s="47" t="str">
        <x:v>Home/Learn</x:v>
      </x:c>
      <x:c r="H74" s="47" t="str">
        <x:v>Simulate no recommendation.</x:v>
      </x:c>
      <x:c r="I74" s="47" t="str">
        <x:v>Usable deterministic/manual learning flow remains.</x:v>
      </x:c>
      <x:c r="J74" s="47" t="str"/>
      <x:c r="K74" s="47" t="str">
        <x:v>NOT RUN</x:v>
      </x:c>
      <x:c r="L74" s="47" t="str"/>
      <x:c r="M74" s="47" t="str"/>
      <x:c r="N74" s="47" t="str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7" t="str">
        <x:v>QA-ACC-001</x:v>
      </x:c>
      <x:c r="B75" s="47" t="str">
        <x:v>QA</x:v>
      </x:c>
      <x:c r="C75" s="47" t="str">
        <x:v>Accessibility/Responsive</x:v>
      </x:c>
      <x:c r="D75" s="47" t="str">
        <x:v>P0</x:v>
      </x:c>
      <x:c r="E75" s="47" t="str"/>
      <x:c r="F75" s="47" t="str">
        <x:v>Keyboard navigation staff</x:v>
      </x:c>
      <x:c r="G75" s="47" t="str">
        <x:v>Desktop staff prototype</x:v>
      </x:c>
      <x:c r="H75" s="47" t="str">
        <x:v>Navigate using Tab/Shift+Tab/Enter.</x:v>
      </x:c>
      <x:c r="I75" s="47" t="str">
        <x:v>All primary navigation/actions reachable with visible focus.</x:v>
      </x:c>
      <x:c r="J75" s="47" t="str"/>
      <x:c r="K75" s="47" t="str">
        <x:v>NOT RUN</x:v>
      </x:c>
      <x:c r="L75" s="47" t="str"/>
      <x:c r="M75" s="47" t="str"/>
      <x:c r="N75" s="47" t="str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7" t="str">
        <x:v>QA-ACC-002</x:v>
      </x:c>
      <x:c r="B76" s="47" t="str">
        <x:v>QA</x:v>
      </x:c>
      <x:c r="C76" s="47" t="str">
        <x:v>Accessibility/Responsive</x:v>
      </x:c>
      <x:c r="D76" s="47" t="str">
        <x:v>P1</x:v>
      </x:c>
      <x:c r="E76" s="47" t="str"/>
      <x:c r="F76" s="47" t="str">
        <x:v>Focus order learner</x:v>
      </x:c>
      <x:c r="G76" s="47" t="str">
        <x:v>Learner prototype with keyboard</x:v>
      </x:c>
      <x:c r="H76" s="47" t="str">
        <x:v>Tab through current screen.</x:v>
      </x:c>
      <x:c r="I76" s="47" t="str">
        <x:v>Focus order follows visual/semantic order.</x:v>
      </x:c>
      <x:c r="J76" s="47" t="str"/>
      <x:c r="K76" s="47" t="str">
        <x:v>NOT RUN</x:v>
      </x:c>
      <x:c r="L76" s="47" t="str"/>
      <x:c r="M76" s="47" t="str"/>
      <x:c r="N76" s="47" t="str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7" t="str">
        <x:v>QA-ACC-003</x:v>
      </x:c>
      <x:c r="B77" s="47" t="str">
        <x:v>QA</x:v>
      </x:c>
      <x:c r="C77" s="47" t="str">
        <x:v>Accessibility/Responsive</x:v>
      </x:c>
      <x:c r="D77" s="47" t="str">
        <x:v>P0</x:v>
      </x:c>
      <x:c r="E77" s="47" t="str"/>
      <x:c r="F77" s="47" t="str">
        <x:v>Touch targets</x:v>
      </x:c>
      <x:c r="G77" s="47" t="str">
        <x:v>Learner screens</x:v>
      </x:c>
      <x:c r="H77" s="47" t="str">
        <x:v>Inspect primary interactive targets.</x:v>
      </x:c>
      <x:c r="I77" s="47" t="str">
        <x:v>Primary tap targets meet 48dp target; no critical tiny icon-only action.</x:v>
      </x:c>
      <x:c r="J77" s="47" t="str"/>
      <x:c r="K77" s="47" t="str">
        <x:v>NOT RUN</x:v>
      </x:c>
      <x:c r="L77" s="47" t="str"/>
      <x:c r="M77" s="47" t="str"/>
      <x:c r="N77" s="47" t="str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7" t="str">
        <x:v>QA-ACC-004</x:v>
      </x:c>
      <x:c r="B78" s="47" t="str">
        <x:v>QA</x:v>
      </x:c>
      <x:c r="C78" s="47" t="str">
        <x:v>Accessibility/Responsive</x:v>
      </x:c>
      <x:c r="D78" s="47" t="str">
        <x:v>P0</x:v>
      </x:c>
      <x:c r="E78" s="47" t="str"/>
      <x:c r="F78" s="47" t="str">
        <x:v>Contrast</x:v>
      </x:c>
      <x:c r="G78" s="47" t="str">
        <x:v>Design tokens/components</x:v>
      </x:c>
      <x:c r="H78" s="47" t="str">
        <x:v>Check text/button/status combinations.</x:v>
      </x:c>
      <x:c r="I78" s="47" t="str">
        <x:v>Target WCAG 2.2 AA contrast; semantic color never sole signal.</x:v>
      </x:c>
      <x:c r="J78" s="47" t="str"/>
      <x:c r="K78" s="47" t="str">
        <x:v>NOT RUN</x:v>
      </x:c>
      <x:c r="L78" s="47" t="str"/>
      <x:c r="M78" s="47" t="str"/>
      <x:c r="N78" s="47" t="str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7" t="str">
        <x:v>QA-ACC-005</x:v>
      </x:c>
      <x:c r="B79" s="47" t="str">
        <x:v>QA</x:v>
      </x:c>
      <x:c r="C79" s="47" t="str">
        <x:v>Accessibility/Responsive</x:v>
      </x:c>
      <x:c r="D79" s="47" t="str">
        <x:v>P1</x:v>
      </x:c>
      <x:c r="E79" s="47" t="str"/>
      <x:c r="F79" s="47" t="str">
        <x:v>Text scaling</x:v>
      </x:c>
      <x:c r="G79" s="47" t="str">
        <x:v>Learner layout</x:v>
      </x:c>
      <x:c r="H79" s="47" t="str">
        <x:v>Simulate 200% browser text zoom as proxy.</x:v>
      </x:c>
      <x:c r="I79" s="47" t="str">
        <x:v>Critical copy/actions remain readable without overlap/loss.</x:v>
      </x:c>
      <x:c r="J79" s="47" t="str"/>
      <x:c r="K79" s="47" t="str">
        <x:v>NOT RUN</x:v>
      </x:c>
      <x:c r="L79" s="47" t="str"/>
      <x:c r="M79" s="47" t="str"/>
      <x:c r="N79" s="47" t="str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7" t="str">
        <x:v>QA-ACC-006</x:v>
      </x:c>
      <x:c r="B80" s="47" t="str">
        <x:v>QA</x:v>
      </x:c>
      <x:c r="C80" s="47" t="str">
        <x:v>Accessibility/Responsive</x:v>
      </x:c>
      <x:c r="D80" s="47" t="str">
        <x:v>P1</x:v>
      </x:c>
      <x:c r="E80" s="47" t="str"/>
      <x:c r="F80" s="47" t="str">
        <x:v>Reduced motion</x:v>
      </x:c>
      <x:c r="G80" s="47" t="str">
        <x:v>Design system</x:v>
      </x:c>
      <x:c r="H80" s="47" t="str">
        <x:v>Inspect motion spec.</x:v>
      </x:c>
      <x:c r="I80" s="47" t="str">
        <x:v>Non-essential motion can be disabled/reduced.</x:v>
      </x:c>
      <x:c r="J80" s="47" t="str"/>
      <x:c r="K80" s="47" t="str">
        <x:v>NOT RUN</x:v>
      </x:c>
      <x:c r="L80" s="47" t="str"/>
      <x:c r="M80" s="47" t="str"/>
      <x:c r="N80" s="47" t="str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7" t="str">
        <x:v>QA-ACC-007</x:v>
      </x:c>
      <x:c r="B81" s="47" t="str">
        <x:v>QA</x:v>
      </x:c>
      <x:c r="C81" s="47" t="str">
        <x:v>Accessibility/Responsive</x:v>
      </x:c>
      <x:c r="D81" s="47" t="str">
        <x:v>P0</x:v>
      </x:c>
      <x:c r="E81" s="47" t="str"/>
      <x:c r="F81" s="47" t="str">
        <x:v>Screen-reader names</x:v>
      </x:c>
      <x:c r="G81" s="47" t="str">
        <x:v>Prototype controls</x:v>
      </x:c>
      <x:c r="H81" s="47" t="str">
        <x:v>Inspect buttons/inputs.</x:v>
      </x:c>
      <x:c r="I81" s="47" t="str">
        <x:v>Controls have meaningful labels/aria where needed.</x:v>
      </x:c>
      <x:c r="J81" s="47" t="str"/>
      <x:c r="K81" s="47" t="str">
        <x:v>FAIL</x:v>
      </x:c>
      <x:c r="L81" s="47" t="str">
        <x:v>Staff editor uses visible &lt;label&gt; elements without for/id association; inputs lack explicit accessible names.</x:v>
      </x:c>
      <x:c r="M81" s="47" t="str">
        <x:v>P2-D010</x:v>
      </x:c>
      <x:c r="N81" s="47" t="str">
        <x:v>Independent static/artifact audit 2026-09-27</x:v>
      </x:c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7" t="str">
        <x:v>QA-ACC-008</x:v>
      </x:c>
      <x:c r="B82" s="47" t="str">
        <x:v>QA</x:v>
      </x:c>
      <x:c r="C82" s="47" t="str">
        <x:v>Accessibility/Responsive</x:v>
      </x:c>
      <x:c r="D82" s="47" t="str">
        <x:v>P0</x:v>
      </x:c>
      <x:c r="E82" s="47" t="str"/>
      <x:c r="F82" s="47" t="str">
        <x:v>Error identification</x:v>
      </x:c>
      <x:c r="G82" s="47" t="str">
        <x:v>Forms/system states</x:v>
      </x:c>
      <x:c r="H82" s="47" t="str">
        <x:v>Inspect errors.</x:v>
      </x:c>
      <x:c r="I82" s="47" t="str">
        <x:v>Error is communicated by text/icon, not red color alone.</x:v>
      </x:c>
      <x:c r="J82" s="47" t="str"/>
      <x:c r="K82" s="47" t="str">
        <x:v>NOT RUN</x:v>
      </x:c>
      <x:c r="L82" s="47" t="str"/>
      <x:c r="M82" s="47" t="str"/>
      <x:c r="N82" s="47" t="str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7" t="str">
        <x:v>QA-ACC-009</x:v>
      </x:c>
      <x:c r="B83" s="47" t="str">
        <x:v>QA</x:v>
      </x:c>
      <x:c r="C83" s="47" t="str">
        <x:v>Accessibility/Responsive</x:v>
      </x:c>
      <x:c r="D83" s="47" t="str">
        <x:v>P1</x:v>
      </x:c>
      <x:c r="E83" s="47" t="str"/>
      <x:c r="F83" s="47" t="str">
        <x:v>Learner small width</x:v>
      </x:c>
      <x:c r="G83" s="47" t="str">
        <x:v>Set viewport ~360px</x:v>
      </x:c>
      <x:c r="H83" s="47" t="str">
        <x:v>Open Home/Learn/Profile.</x:v>
      </x:c>
      <x:c r="I83" s="47" t="str">
        <x:v>No horizontal overflow; primary actions visible.</x:v>
      </x:c>
      <x:c r="J83" s="47" t="str"/>
      <x:c r="K83" s="47" t="str">
        <x:v>NOT RUN</x:v>
      </x:c>
      <x:c r="L83" s="47" t="str"/>
      <x:c r="M83" s="47" t="str"/>
      <x:c r="N83" s="47" t="str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7" t="str">
        <x:v>QA-ACC-010</x:v>
      </x:c>
      <x:c r="B84" s="47" t="str">
        <x:v>QA</x:v>
      </x:c>
      <x:c r="C84" s="47" t="str">
        <x:v>Accessibility/Responsive</x:v>
      </x:c>
      <x:c r="D84" s="47" t="str">
        <x:v>P1</x:v>
      </x:c>
      <x:c r="E84" s="47" t="str"/>
      <x:c r="F84" s="47" t="str">
        <x:v>Learner large phone</x:v>
      </x:c>
      <x:c r="G84" s="47" t="str">
        <x:v>Set viewport ~480px</x:v>
      </x:c>
      <x:c r="H84" s="47" t="str">
        <x:v>Open core screens.</x:v>
      </x:c>
      <x:c r="I84" s="47" t="str">
        <x:v>Layout remains bounded/readable; no excessive line length.</x:v>
      </x:c>
      <x:c r="J84" s="47" t="str"/>
      <x:c r="K84" s="47" t="str">
        <x:v>NOT RUN</x:v>
      </x:c>
      <x:c r="L84" s="47" t="str"/>
      <x:c r="M84" s="47" t="str"/>
      <x:c r="N84" s="47" t="str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7" t="str">
        <x:v>QA-ACC-011</x:v>
      </x:c>
      <x:c r="B85" s="47" t="str">
        <x:v>QA</x:v>
      </x:c>
      <x:c r="C85" s="47" t="str">
        <x:v>Accessibility/Responsive</x:v>
      </x:c>
      <x:c r="D85" s="47" t="str">
        <x:v>P1</x:v>
      </x:c>
      <x:c r="E85" s="47" t="str"/>
      <x:c r="F85" s="47" t="str">
        <x:v>Staff desktop</x:v>
      </x:c>
      <x:c r="G85" s="47" t="str">
        <x:v>Set viewport 1440px</x:v>
      </x:c>
      <x:c r="H85" s="47" t="str">
        <x:v>Open Staff Dashboard/Content.</x:v>
      </x:c>
      <x:c r="I85" s="47" t="str">
        <x:v>Sidebar/content widths usable; tables readable.</x:v>
      </x:c>
      <x:c r="J85" s="47" t="str"/>
      <x:c r="K85" s="47" t="str">
        <x:v>NOT RUN</x:v>
      </x:c>
      <x:c r="L85" s="47" t="str"/>
      <x:c r="M85" s="47" t="str"/>
      <x:c r="N85" s="47" t="str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7" t="str">
        <x:v>QA-ACC-012</x:v>
      </x:c>
      <x:c r="B86" s="47" t="str">
        <x:v>QA</x:v>
      </x:c>
      <x:c r="C86" s="47" t="str">
        <x:v>Accessibility/Responsive</x:v>
      </x:c>
      <x:c r="D86" s="47" t="str">
        <x:v>P1</x:v>
      </x:c>
      <x:c r="E86" s="47" t="str"/>
      <x:c r="F86" s="47" t="str">
        <x:v>Staff compact laptop</x:v>
      </x:c>
      <x:c r="G86" s="47" t="str">
        <x:v>Set viewport 1024px</x:v>
      </x:c>
      <x:c r="H86" s="47" t="str">
        <x:v>Open Staff Content.</x:v>
      </x:c>
      <x:c r="I86" s="47" t="str">
        <x:v>Sidebar can compact; core task remains usable.</x:v>
      </x:c>
      <x:c r="J86" s="47" t="str"/>
      <x:c r="K86" s="47" t="str">
        <x:v>NOT RUN</x:v>
      </x:c>
      <x:c r="L86" s="47" t="str"/>
      <x:c r="M86" s="47" t="str"/>
      <x:c r="N86" s="47" t="str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7" t="str">
        <x:v>QA-HO-001</x:v>
      </x:c>
      <x:c r="B87" s="47" t="str">
        <x:v>QA</x:v>
      </x:c>
      <x:c r="C87" s="47" t="str">
        <x:v>Handoff</x:v>
      </x:c>
      <x:c r="D87" s="47" t="str">
        <x:v>P0</x:v>
      </x:c>
      <x:c r="E87" s="47" t="str"/>
      <x:c r="F87" s="47" t="str">
        <x:v>Developer handoff completeness</x:v>
      </x:c>
      <x:c r="G87" s="47" t="str">
        <x:v>Phase 2 package</x:v>
      </x:c>
      <x:c r="H87" s="47" t="str">
        <x:v>Check routes, screen IDs, tokens, states, traceability and deferred boundaries.</x:v>
      </x:c>
      <x:c r="I87" s="47" t="str">
        <x:v>Developer can implement Phase 3–5 UI without inventing missing interaction semantics.</x:v>
      </x:c>
      <x:c r="J87" s="47" t="str"/>
      <x:c r="K87" s="47" t="str">
        <x:v>NOT RUN</x:v>
      </x:c>
      <x:c r="L87" s="47" t="str"/>
      <x:c r="M87" s="47" t="str"/>
      <x:c r="N87" s="47" t="str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7" t="str">
        <x:v>QA-HO-002</x:v>
      </x:c>
      <x:c r="B88" s="47" t="str">
        <x:v>QA</x:v>
      </x:c>
      <x:c r="C88" s="47" t="str">
        <x:v>Handoff</x:v>
      </x:c>
      <x:c r="D88" s="47" t="str">
        <x:v>P1</x:v>
      </x:c>
      <x:c r="E88" s="47" t="str"/>
      <x:c r="F88" s="47" t="str">
        <x:v>Token source</x:v>
      </x:c>
      <x:c r="G88" s="47" t="str">
        <x:v>Design system</x:v>
      </x:c>
      <x:c r="H88" s="47" t="str">
        <x:v>Compare spec and design_tokens.json.</x:v>
      </x:c>
      <x:c r="I88" s="47" t="str">
        <x:v>Named tokens match; implementation can consume stable semantic names.</x:v>
      </x:c>
      <x:c r="J88" s="47" t="str"/>
      <x:c r="K88" s="47" t="str">
        <x:v>NOT RUN</x:v>
      </x:c>
      <x:c r="L88" s="47" t="str"/>
      <x:c r="M88" s="47" t="str"/>
      <x:c r="N88" s="47" t="str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7" t="str">
        <x:v>QA-HO-003</x:v>
      </x:c>
      <x:c r="B89" s="47" t="str">
        <x:v>QA</x:v>
      </x:c>
      <x:c r="C89" s="47" t="str">
        <x:v>Handoff</x:v>
      </x:c>
      <x:c r="D89" s="47" t="str">
        <x:v>P1</x:v>
      </x:c>
      <x:c r="E89" s="47" t="str"/>
      <x:c r="F89" s="47" t="str">
        <x:v>Test ID guidance</x:v>
      </x:c>
      <x:c r="G89" s="47" t="str">
        <x:v>Developer handoff</x:v>
      </x:c>
      <x:c r="H89" s="47" t="str">
        <x:v>Inspect automation naming.</x:v>
      </x:c>
      <x:c r="I89" s="47" t="str">
        <x:v>Recommended data-testid keys are stable and derived from screen/component IDs.</x:v>
      </x:c>
      <x:c r="J89" s="47" t="str"/>
      <x:c r="K89" s="47" t="str">
        <x:v>NOT RUN</x:v>
      </x:c>
      <x:c r="L89" s="47" t="str"/>
      <x:c r="M89" s="47" t="str"/>
      <x:c r="N89" s="47" t="str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7" t="str">
        <x:v>QA-HO-004</x:v>
      </x:c>
      <x:c r="B90" s="47" t="str">
        <x:v>QA</x:v>
      </x:c>
      <x:c r="C90" s="47" t="str">
        <x:v>Handoff</x:v>
      </x:c>
      <x:c r="D90" s="47" t="str">
        <x:v>P0</x:v>
      </x:c>
      <x:c r="E90" s="47" t="str"/>
      <x:c r="F90" s="47" t="str">
        <x:v>No production code claim</x:v>
      </x:c>
      <x:c r="G90" s="47" t="str">
        <x:v>Prototype/docs</x:v>
      </x:c>
      <x:c r="H90" s="47" t="str">
        <x:v>Inspect release notes.</x:v>
      </x:c>
      <x:c r="I90" s="47" t="str">
        <x:v>Prototype clearly labelled non-production and contains no backend business implementation.</x:v>
      </x:c>
      <x:c r="J90" s="47" t="str"/>
      <x:c r="K90" s="47" t="str">
        <x:v>NOT RUN</x:v>
      </x:c>
      <x:c r="L90" s="47" t="str"/>
      <x:c r="M90" s="47" t="str"/>
      <x:c r="N90" s="47" t="str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7" t="str">
        <x:v>QA-HO-005</x:v>
      </x:c>
      <x:c r="B91" s="47" t="str">
        <x:v>QA</x:v>
      </x:c>
      <x:c r="C91" s="47" t="str">
        <x:v>Handoff</x:v>
      </x:c>
      <x:c r="D91" s="47" t="str">
        <x:v>P0</x:v>
      </x:c>
      <x:c r="E91" s="47" t="str"/>
      <x:c r="F91" s="47" t="str">
        <x:v>QA package signoff fields</x:v>
      </x:c>
      <x:c r="G91" s="47" t="str">
        <x:v>QA workbook</x:v>
      </x:c>
      <x:c r="H91" s="47" t="str">
        <x:v>Open Signoff sheet.</x:v>
      </x:c>
      <x:c r="I91" s="47" t="str">
        <x:v>QC, QA, Product/Owner and Tech Lead fields exist with exit criteria.</x:v>
      </x:c>
      <x:c r="J91" s="47" t="str"/>
      <x:c r="K91" s="47" t="str">
        <x:v>NOT RUN</x:v>
      </x:c>
      <x:c r="L91" s="47" t="str"/>
      <x:c r="M91" s="47" t="str"/>
      <x:c r="N91" s="47" t="str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 t="str">
        <x:v>QA-LRN-021</x:v>
      </x:c>
      <x:c r="B92" s="45" t="str">
        <x:v>QA</x:v>
      </x:c>
      <x:c r="C92" s="45" t="str">
        <x:v>Learner</x:v>
      </x:c>
      <x:c r="D92" s="45" t="str">
        <x:v>P0</x:v>
      </x:c>
      <x:c r="E92" s="45" t="str">
        <x:v>PRD-01; PRD-04</x:v>
      </x:c>
      <x:c r="F92" s="45" t="str">
        <x:v>Required-response steps reject blank submit</x:v>
      </x:c>
      <x:c r="G92" s="45" t="str">
        <x:v>Review/Transfer/Check item displayed with no option selected</x:v>
      </x:c>
      <x:c r="H92" s="45" t="str">
        <x:v>Press Submit / Submit and continue / Submit Check without selecting an answer.</x:v>
      </x:c>
      <x:c r="I92" s="45" t="str">
        <x:v>User remains on the item with accessible validation or an explicit Skip path; no answer/completion/evidence is fabricated.</x:v>
      </x:c>
      <x:c r="J92" s="45" t="str">
        <x:v>QC/QA</x:v>
      </x:c>
      <x:c r="K92" s="45" t="str">
        <x:v>FAIL</x:v>
      </x:c>
      <x:c r="L92" s="45" t="str">
        <x:v>Static source audit: Review/Transfer/Check submit handlers advance with nextCycle() without selection validation.</x:v>
      </x:c>
      <x:c r="M92" s="45" t="str">
        <x:v>P2-D002</x:v>
      </x:c>
      <x:c r="N92" s="45" t="str">
        <x:v>New regression case added by independent audit.</x:v>
      </x:c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 t="str">
        <x:v>QA-LRN-022</x:v>
      </x:c>
      <x:c r="B93" s="45" t="str">
        <x:v>QA</x:v>
      </x:c>
      <x:c r="C93" s="45" t="str">
        <x:v>Learner</x:v>
      </x:c>
      <x:c r="D93" s="45" t="str">
        <x:v>P1</x:v>
      </x:c>
      <x:c r="E93" s="45" t="str">
        <x:v>PRD-06</x:v>
      </x:c>
      <x:c r="F93" s="45" t="str">
        <x:v>Representative Grammar flow is executable</x:v>
      </x:c>
      <x:c r="G93" s="45" t="str">
        <x:v>Grammar MVP objective available</x:v>
      </x:c>
      <x:c r="H93" s="45" t="str">
        <x:v>Open Grammar Learn → Practice/Retrieve → Transfer → Check example.</x:v>
      </x:c>
      <x:c r="I93" s="45" t="str">
        <x:v>Scaffold, guided practice, changed-context transfer and independent Check are concretely testable without inventing interaction semantics.</x:v>
      </x:c>
      <x:c r="J93" s="45" t="str">
        <x:v>QC/QA</x:v>
      </x:c>
      <x:c r="K93" s="45" t="str">
        <x:v>BLOCKED</x:v>
      </x:c>
      <x:c r="L93" s="45" t="str">
        <x:v>No representative Grammar flow exists in the clickable prototype.</x:v>
      </x:c>
      <x:c r="M93" s="45" t="str">
        <x:v>P2-D016</x:v>
      </x:c>
      <x:c r="N93" s="45" t="str">
        <x:v>New coverage-gap case added by independent audit.</x:v>
      </x:c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 t="str">
        <x:v>QA-LRN-023</x:v>
      </x:c>
      <x:c r="B94" s="45" t="str">
        <x:v>QA</x:v>
      </x:c>
      <x:c r="C94" s="45" t="str">
        <x:v>Learner</x:v>
      </x:c>
      <x:c r="D94" s="45" t="str">
        <x:v>P1</x:v>
      </x:c>
      <x:c r="E94" s="45" t="str">
        <x:v>PRD-05; PRD-06</x:v>
      </x:c>
      <x:c r="F94" s="45" t="str">
        <x:v>Representative Listening flow is executable</x:v>
      </x:c>
      <x:c r="G94" s="45" t="str">
        <x:v>Listening MVP objective available</x:v>
      </x:c>
      <x:c r="H94" s="45" t="str">
        <x:v>Open Listening Practice and Check; inspect playback, replay policy, offline-media and completion behavior.</x:v>
      </x:c>
      <x:c r="I94" s="45" t="str">
        <x:v>Audio controls, offered-play policy, telemetry wording and media-unavailable behavior are concrete and testable; no physical-listening claim is made.</x:v>
      </x:c>
      <x:c r="J94" s="45" t="str">
        <x:v>QC/QA</x:v>
      </x:c>
      <x:c r="K94" s="45" t="str">
        <x:v>BLOCKED</x:v>
      </x:c>
      <x:c r="L94" s="45" t="str">
        <x:v>Listening rules/components exist in documents but no executable Listening item exists in prototype.</x:v>
      </x:c>
      <x:c r="M94" s="45" t="str">
        <x:v>P2-D008</x:v>
      </x:c>
      <x:c r="N94" s="45" t="str">
        <x:v>New coverage-gap case added by independent audit.</x:v>
      </x:c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 t="str">
        <x:v>QA-STF-011</x:v>
      </x:c>
      <x:c r="B95" s="45" t="str">
        <x:v>QA</x:v>
      </x:c>
      <x:c r="C95" s="45" t="str">
        <x:v>Staff</x:v>
      </x:c>
      <x:c r="D95" s="45" t="str">
        <x:v>P1</x:v>
      </x:c>
      <x:c r="E95" s="45" t="str">
        <x:v>PRD-14</x:v>
      </x:c>
      <x:c r="F95" s="45" t="str">
        <x:v>Content publish lifecycle is executable end to end</x:v>
      </x:c>
      <x:c r="G95" s="45" t="str">
        <x:v>Draft content with provenance issue exists</x:v>
      </x:c>
      <x:c r="H95" s="45" t="str">
        <x:v>Edit draft → preview → submit review → resolve provenance → approve → confirm publish → inspect published revision → create new draft.</x:v>
      </x:c>
      <x:c r="I95" s="45" t="str">
        <x:v>Every transition is executable; published revision is immutable and editing requires a new draft/revision.</x:v>
      </x:c>
      <x:c r="J95" s="45" t="str">
        <x:v>QC/QA</x:v>
      </x:c>
      <x:c r="K95" s="45" t="str">
        <x:v>BLOCKED</x:v>
      </x:c>
      <x:c r="L95" s="45" t="str">
        <x:v>Preview/resolve/publish-confirmation path is incomplete in prototype.</x:v>
      </x:c>
      <x:c r="M95" s="45" t="str">
        <x:v>P2-D009</x:v>
      </x:c>
      <x:c r="N95" s="45" t="str">
        <x:v>New lifecycle case added by independent audit.</x:v>
      </x:c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 t="str">
        <x:v>QA-ACC-013</x:v>
      </x:c>
      <x:c r="B96" s="45" t="str">
        <x:v>QA</x:v>
      </x:c>
      <x:c r="C96" s="45" t="str">
        <x:v>Accessibility/Responsive</x:v>
      </x:c>
      <x:c r="D96" s="45" t="str">
        <x:v>P1</x:v>
      </x:c>
      <x:c r="E96" s="45" t="str"/>
      <x:c r="F96" s="45" t="str">
        <x:v>Critical form fields have programmatic accessible names</x:v>
      </x:c>
      <x:c r="G96" s="45" t="str">
        <x:v>Staff Content editor open</x:v>
      </x:c>
      <x:c r="H96" s="45" t="str">
        <x:v>Inspect accessibility tree or equivalent name computation for Prompt and Source/license fields.</x:v>
      </x:c>
      <x:c r="I96" s="45" t="str">
        <x:v>Each form control has a stable accessible name associated programmatically, not only visually adjacent text.</x:v>
      </x:c>
      <x:c r="J96" s="45" t="str">
        <x:v>QC/QA</x:v>
      </x:c>
      <x:c r="K96" s="45" t="str">
        <x:v>FAIL</x:v>
      </x:c>
      <x:c r="L96" s="45" t="str">
        <x:v>Prototype labels are not bound by for/id and inputs have no aria-label/aria-labelledby.</x:v>
      </x:c>
      <x:c r="M96" s="45" t="str">
        <x:v>P2-D010</x:v>
      </x:c>
      <x:c r="N96" s="45" t="str">
        <x:v>New accessibility regression case added by independent audit.</x:v>
      </x:c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 t="str">
        <x:v>QA-HO-006</x:v>
      </x:c>
      <x:c r="B97" s="45" t="str">
        <x:v>QA</x:v>
      </x:c>
      <x:c r="C97" s="45" t="str">
        <x:v>Handoff</x:v>
      </x:c>
      <x:c r="D97" s="45" t="str">
        <x:v>P1</x:v>
      </x:c>
      <x:c r="E97" s="45" t="str"/>
      <x:c r="F97" s="45" t="str">
        <x:v>Gate-critical Screen/State → QA mapping is explicit</x:v>
      </x:c>
      <x:c r="G97" s="45" t="str">
        <x:v>Screen inventory, state catalog and QA suite available</x:v>
      </x:c>
      <x:c r="H97" s="45" t="str">
        <x:v>Trace every gate-critical screen and state to at least one QA case; flag supporting-only screens explicitly.</x:v>
      </x:c>
      <x:c r="I97" s="45" t="str">
        <x:v>Coverage can be audited without manually inferring screen IDs from prose.</x:v>
      </x:c>
      <x:c r="J97" s="45" t="str">
        <x:v>QC/QA</x:v>
      </x:c>
      <x:c r="K97" s="45" t="str">
        <x:v>FAIL</x:v>
      </x:c>
      <x:c r="L97" s="45" t="str">
        <x:v>No screen ID occurs explicitly in original QA_TEST_CASES.csv; only 34/57 screens appear in PRD traceability.</x:v>
      </x:c>
      <x:c r="M97" s="45" t="str">
        <x:v>P2-D012</x:v>
      </x:c>
      <x:c r="N97" s="45" t="str">
        <x:v>New traceability case added by independent audit.</x:v>
      </x:c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 t="str">
        <x:v>QA-OFF-007</x:v>
      </x:c>
      <x:c r="B98" s="45" t="str">
        <x:v>QA</x:v>
      </x:c>
      <x:c r="C98" s="45" t="str">
        <x:v>Offline/System</x:v>
      </x:c>
      <x:c r="D98" s="45" t="str">
        <x:v>P0</x:v>
      </x:c>
      <x:c r="E98" s="45" t="str">
        <x:v>PRD-15</x:v>
      </x:c>
      <x:c r="F98" s="45" t="str">
        <x:v>Restored connectivity does not equal server-confirmed sync</x:v>
      </x:c>
      <x:c r="G98" s="45" t="str">
        <x:v>A durable command is locally queued while offline</x:v>
      </x:c>
      <x:c r="H98" s="45" t="str">
        <x:v>Restore network but withhold/mock server acknowledgement; then inspect summary and sync status.</x:v>
      </x:c>
      <x:c r="I98" s="45" t="str">
        <x:v>State remains queued/syncing/retryable as appropriate; Synced appears only after authoritative acknowledgement/canonical refresh.</x:v>
      </x:c>
      <x:c r="J98" s="45" t="str">
        <x:v>QC/QA</x:v>
      </x:c>
      <x:c r="K98" s="45" t="str">
        <x:v>FAIL</x:v>
      </x:c>
      <x:c r="L98" s="45" t="str">
        <x:v>Prototype derives Synced/All caught up directly from offline=false.</x:v>
      </x:c>
      <x:c r="M98" s="45" t="str">
        <x:v>P2-D004</x:v>
      </x:c>
      <x:c r="N98" s="45" t="str">
        <x:v>New server-authority regression case added by independent audit.</x:v>
      </x:c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conditionalFormatting sqref="K5:K250">
    <x:cfRule type="expression" dxfId="12" priority="1">
      <x:formula>$K5="PASS"</x:formula>
    </x:cfRule>
    <x:cfRule type="expression" dxfId="13" priority="2">
      <x:formula>$K5="DONE"</x:formula>
    </x:cfRule>
    <x:cfRule type="expression" dxfId="14" priority="3">
      <x:formula>$K5="SIGNED"</x:formula>
    </x:cfRule>
    <x:cfRule type="expression" dxfId="15" priority="4">
      <x:formula>$K5="ACCEPTED"</x:formula>
    </x:cfRule>
    <x:cfRule type="expression" dxfId="16" priority="5">
      <x:formula>$K5="FAIL"</x:formula>
    </x:cfRule>
    <x:cfRule type="expression" dxfId="17" priority="6">
      <x:formula>$K5="BLOCKED"</x:formula>
    </x:cfRule>
    <x:cfRule type="expression" dxfId="18" priority="7">
      <x:formula>$K5="NOT PASSED"</x:formula>
    </x:cfRule>
    <x:cfRule type="expression" dxfId="19" priority="8">
      <x:formula>$K5="NOT RUN"</x:formula>
    </x:cfRule>
    <x:cfRule type="expression" dxfId="20" priority="9">
      <x:formula>$K5="PENDING"</x:formula>
    </x:cfRule>
    <x:cfRule type="expression" dxfId="21" priority="10">
      <x:formula>$K5="IN PROGRESS"</x:formula>
    </x:cfRule>
    <x:cfRule type="expression" dxfId="22" priority="11">
      <x:formula>$K5="READY"</x:formula>
    </x:cfRule>
    <x:cfRule type="expression" dxfId="23" priority="12">
      <x:formula>$K5="DEFERRED"</x:formula>
    </x:cfRule>
  </x:conditionalFormatting>
  <x:dataValidations count="2">
    <x:dataValidation type="list" sqref="D5:D250">
      <x:formula1>"P0,P1,P2,P3"</x:formula1>
    </x:dataValidation>
    <x:dataValidation type="list" sqref="K5:K250">
      <x:formula1>"NOT RUN,IN PROGRESS,PASS,FAIL,BLOCKED,DEFERRED"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7bf3f44d5941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4" hidden="0" customWidth="1"/>
    <x:col min="4" max="4" width="18" hidden="0" customWidth="1"/>
    <x:col min="5" max="5" width="16" hidden="0" customWidth="1"/>
    <x:col min="6" max="6" width="34" hidden="0" customWidth="1"/>
    <x:col min="7" max="7" width="48" hidden="0" customWidth="1"/>
  </x:cols>
  <x:sheetData>
    <x:row r="1" ht="28" customHeight="1">
      <x:c r="A1" s="4" t="str">
        <x:v>QC ARTIFACT CHECKLIST</x:v>
      </x:c>
      <x:c r="B1" s="4"/>
      <x:c r="C1" s="4"/>
      <x:c r="D1" s="4"/>
      <x:c r="E1" s="4"/>
      <x:c r="F1" s="4"/>
      <x:c r="G1" s="4"/>
      <x:c r="H1" s="58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Static conformity review before behavior QA.</x:v>
      </x:c>
      <x:c r="B2" s="11"/>
      <x:c r="C2" s="11"/>
      <x:c r="D2" s="11"/>
      <x:c r="E2" s="11"/>
      <x:c r="F2" s="11"/>
      <x:c r="G2" s="11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QC ID</x:v>
      </x:c>
      <x:c r="B4" s="46" t="str">
        <x:v>Check</x:v>
      </x:c>
      <x:c r="C4" s="46" t="str">
        <x:v>Expected</x:v>
      </x:c>
      <x:c r="D4" s="46" t="str">
        <x:v>Reviewer</x:v>
      </x:c>
      <x:c r="E4" s="46" t="str">
        <x:v>Status</x:v>
      </x:c>
      <x:c r="F4" s="46" t="str">
        <x:v>Evidence</x:v>
      </x:c>
      <x:c r="G4" s="46" t="str">
        <x:v>Notes</x:v>
      </x:c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QC-001</x:v>
      </x:c>
      <x:c r="B5" s="47" t="str">
        <x:v>Required Phase 2 artifacts exist</x:v>
      </x:c>
      <x:c r="C5" s="47" t="str">
        <x:v>Every file in handoff index exists and opens.</x:v>
      </x:c>
      <x:c r="D5" s="47" t="str"/>
      <x:c r="E5" s="47" t="str">
        <x:v>NOT RUN</x:v>
      </x:c>
      <x:c r="F5" s="47" t="str"/>
      <x:c r="G5" s="47" t="str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QC-002</x:v>
      </x:c>
      <x:c r="B6" s="47" t="str">
        <x:v>V3.2 remains untouched</x:v>
      </x:c>
      <x:c r="C6" s="47" t="str">
        <x:v>No Phase 2 artifact silently modifies original V3.2 source.</x:v>
      </x:c>
      <x:c r="D6" s="47" t="str"/>
      <x:c r="E6" s="47" t="str">
        <x:v>NOT RUN</x:v>
      </x:c>
      <x:c r="F6" s="47" t="str"/>
      <x:c r="G6" s="47" t="str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QC-003</x:v>
      </x:c>
      <x:c r="B7" s="47" t="str">
        <x:v>Phase boundary is explicit</x:v>
      </x:c>
      <x:c r="C7" s="47" t="str">
        <x:v>Docs identify Phase 3+ behavior as future/deferred, not implemented.</x:v>
      </x:c>
      <x:c r="D7" s="47" t="str"/>
      <x:c r="E7" s="47" t="str">
        <x:v>NOT RUN</x:v>
      </x:c>
      <x:c r="F7" s="47" t="str"/>
      <x:c r="G7" s="47" t="str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QC-004</x:v>
      </x:c>
      <x:c r="B8" s="47" t="str">
        <x:v>Screen IDs unique</x:v>
      </x:c>
      <x:c r="C8" s="47" t="str">
        <x:v>All learner/staff screen IDs are unique and traceable.</x:v>
      </x:c>
      <x:c r="D8" s="47" t="str"/>
      <x:c r="E8" s="47" t="str">
        <x:v>NOT RUN</x:v>
      </x:c>
      <x:c r="F8" s="47" t="str"/>
      <x:c r="G8" s="47" t="str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QC-005</x:v>
      </x:c>
      <x:c r="B9" s="47" t="str">
        <x:v>Routes documented</x:v>
      </x:c>
      <x:c r="C9" s="47" t="str">
        <x:v>Every inventory screen has a route or overlay identity.</x:v>
      </x:c>
      <x:c r="D9" s="47" t="str"/>
      <x:c r="E9" s="47" t="str">
        <x:v>NOT RUN</x:v>
      </x:c>
      <x:c r="F9" s="47" t="str"/>
      <x:c r="G9" s="47" t="str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QC-006</x:v>
      </x:c>
      <x:c r="B10" s="47" t="str">
        <x:v>PRD traceability complete</x:v>
      </x:c>
      <x:c r="C10" s="47" t="str">
        <x:v>PRD-01..PRD-16 all map to UX surfaces and QA cases.</x:v>
      </x:c>
      <x:c r="D10" s="47" t="str"/>
      <x:c r="E10" s="47" t="str">
        <x:v>NOT RUN</x:v>
      </x:c>
      <x:c r="F10" s="47" t="str"/>
      <x:c r="G10" s="47" t="str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QC-007</x:v>
      </x:c>
      <x:c r="B11" s="47" t="str">
        <x:v>Locked vs hypothesis language</x:v>
      </x:c>
      <x:c r="C11" s="47" t="str">
        <x:v>5m/retry/replay/placement thresholds are labelled hypotheses where applicable.</x:v>
      </x:c>
      <x:c r="D11" s="47" t="str"/>
      <x:c r="E11" s="47" t="str">
        <x:v>NOT RUN</x:v>
      </x:c>
      <x:c r="F11" s="47" t="str"/>
      <x:c r="G11" s="47" t="str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QC-008</x:v>
      </x:c>
      <x:c r="B12" s="47" t="str">
        <x:v>No false learning claims</x:v>
      </x:c>
      <x:c r="C12" s="47" t="str">
        <x:v>No precise mastery/diagnosis/efficacy claim appears in learner copy.</x:v>
      </x:c>
      <x:c r="D12" s="47" t="str"/>
      <x:c r="E12" s="47" t="str">
        <x:v>NOT RUN</x:v>
      </x:c>
      <x:c r="F12" s="47" t="str"/>
      <x:c r="G12" s="47" t="str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QC-009</x:v>
      </x:c>
      <x:c r="B13" s="47" t="str">
        <x:v>No credential material</x:v>
      </x:c>
      <x:c r="C13" s="47" t="str">
        <x:v>No password/token/secret URL in Phase 2 package.</x:v>
      </x:c>
      <x:c r="D13" s="47" t="str"/>
      <x:c r="E13" s="47" t="str">
        <x:v>NOT RUN</x:v>
      </x:c>
      <x:c r="F13" s="47" t="str"/>
      <x:c r="G13" s="47" t="str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QC-010</x:v>
      </x:c>
      <x:c r="B14" s="47" t="str">
        <x:v>Prototype is self-contained</x:v>
      </x:c>
      <x:c r="C14" s="47" t="str">
        <x:v>No external CDN/network dependency is required to render prototype.</x:v>
      </x:c>
      <x:c r="D14" s="47" t="str"/>
      <x:c r="E14" s="47" t="str">
        <x:v>NOT RUN</x:v>
      </x:c>
      <x:c r="F14" s="47" t="str"/>
      <x:c r="G14" s="47" t="str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G1"/>
    <x:mergeCell ref="A2:G2"/>
  </x:mergeCells>
  <x:conditionalFormatting sqref="E5:E100">
    <x:cfRule type="expression" dxfId="24" priority="1">
      <x:formula>$E5="PASS"</x:formula>
    </x:cfRule>
    <x:cfRule type="expression" dxfId="25" priority="2">
      <x:formula>$E5="DONE"</x:formula>
    </x:cfRule>
    <x:cfRule type="expression" dxfId="26" priority="3">
      <x:formula>$E5="SIGNED"</x:formula>
    </x:cfRule>
    <x:cfRule type="expression" dxfId="27" priority="4">
      <x:formula>$E5="ACCEPTED"</x:formula>
    </x:cfRule>
    <x:cfRule type="expression" dxfId="28" priority="5">
      <x:formula>$E5="FAIL"</x:formula>
    </x:cfRule>
    <x:cfRule type="expression" dxfId="29" priority="6">
      <x:formula>$E5="BLOCKED"</x:formula>
    </x:cfRule>
    <x:cfRule type="expression" dxfId="30" priority="7">
      <x:formula>$E5="NOT PASSED"</x:formula>
    </x:cfRule>
    <x:cfRule type="expression" dxfId="31" priority="8">
      <x:formula>$E5="NOT RUN"</x:formula>
    </x:cfRule>
    <x:cfRule type="expression" dxfId="32" priority="9">
      <x:formula>$E5="PENDING"</x:formula>
    </x:cfRule>
    <x:cfRule type="expression" dxfId="33" priority="10">
      <x:formula>$E5="IN PROGRESS"</x:formula>
    </x:cfRule>
    <x:cfRule type="expression" dxfId="34" priority="11">
      <x:formula>$E5="READY"</x:formula>
    </x:cfRule>
    <x:cfRule type="expression" dxfId="35" priority="12">
      <x:formula>$E5="DEFERRED"</x:formula>
    </x:cfRule>
  </x:conditionalFormatting>
  <x:dataValidations count="1">
    <x:dataValidation type="list" sqref="E5:E100">
      <x:formula1>"NOT RUN,PASS,FAIL,BLOCKED"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22" hidden="0" customWidth="1"/>
    <x:col min="5" max="5" width="11" hidden="0" customWidth="1"/>
    <x:col min="6" max="6" width="18" hidden="0" customWidth="1"/>
    <x:col min="7" max="7" width="38" hidden="0" customWidth="1"/>
    <x:col min="8" max="8" width="48" hidden="0" customWidth="1"/>
    <x:col min="9" max="9" width="4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28" customHeight="1">
      <x:c r="A1" s="4" t="str">
        <x:v>PHASE 2 DEFECT 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Use P2-D###. Frozen-rule conflicts escalate, not silently redesigned.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Defect ID</x:v>
      </x:c>
      <x:c r="B4" s="46" t="str">
        <x:v>Opened</x:v>
      </x:c>
      <x:c r="C4" s="46" t="str">
        <x:v>Test ID</x:v>
      </x:c>
      <x:c r="D4" s="46" t="str">
        <x:v>Screen/Component</x:v>
      </x:c>
      <x:c r="E4" s="46" t="str">
        <x:v>Severity</x:v>
      </x:c>
      <x:c r="F4" s="46" t="str">
        <x:v>Status</x:v>
      </x:c>
      <x:c r="G4" s="46" t="str">
        <x:v>Title</x:v>
      </x:c>
      <x:c r="H4" s="46" t="str">
        <x:v>Expected</x:v>
      </x:c>
      <x:c r="I4" s="46" t="str">
        <x:v>Actual</x:v>
      </x:c>
      <x:c r="J4" s="46" t="str">
        <x:v>Owner</x:v>
      </x:c>
      <x:c r="K4" s="46" t="str">
        <x:v>Fix candidate</x:v>
      </x:c>
      <x:c r="L4" s="46" t="str">
        <x:v>Retest result</x:v>
      </x:c>
      <x:c r="M4" s="46" t="str">
        <x:v>Reviewer</x:v>
      </x:c>
      <x:c r="N4" s="46" t="str">
        <x:v>Resolution</x:v>
      </x:c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P2-D001</x:v>
      </x:c>
      <x:c r="B5" s="60" t="str">
        <x:v>2026-09-27</x:v>
      </x:c>
      <x:c r="C5" s="47" t="str">
        <x:v>QA-LRN-006</x:v>
      </x:c>
      <x:c r="D5" s="47" t="str">
        <x:v>L-024 / prototype Retrieve</x:v>
      </x:c>
      <x:c r="E5" s="47" t="str">
        <x:v>P0</x:v>
      </x:c>
      <x:c r="F5" s="47" t="str">
        <x:v>OPEN</x:v>
      </x:c>
      <x:c r="G5" s="47" t="str">
        <x:v>Retrieve marks the wrong answer as correct</x:v>
      </x:c>
      <x:c r="H5" s="47" t="str">
        <x:v>Correct reply to “How are you?” must receive correct feedback; wrong distractors must not pass.</x:v>
      </x:c>
      <x:c r="I5" s="47" t="str">
        <x:v>submitRetrieve() checks selected==='go'; value 'go' belongs to “Go to school.” while correct reply uses value 'good'.</x:v>
      </x:c>
      <x:c r="J5" s="47" t="str">
        <x:v>UX/Prototype</x:v>
      </x:c>
      <x:c r="K5" s="47" t="str">
        <x:v>Correct the answer key; use data-driven answer keys and regression-test every prototype item.</x:v>
      </x:c>
      <x:c r="L5" s="47" t="str"/>
      <x:c r="M5" s="47" t="str">
        <x:v>QC/QA Lead</x:v>
      </x:c>
      <x:c r="N5" s="47" t="str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P2-D002</x:v>
      </x:c>
      <x:c r="B6" s="60" t="str">
        <x:v>2026-09-27</x:v>
      </x:c>
      <x:c r="C6" s="47" t="str">
        <x:v>QA-LRN-001; QA-BIZ-002</x:v>
      </x:c>
      <x:c r="D6" s="47" t="str">
        <x:v>Review / Transfer / Check</x:v>
      </x:c>
      <x:c r="E6" s="47" t="str">
        <x:v>P0</x:v>
      </x:c>
      <x:c r="F6" s="47" t="str">
        <x:v>OPEN</x:v>
      </x:c>
      <x:c r="G6" s="47" t="str">
        <x:v>Blank submissions can advance and complete the learning cycle</x:v>
      </x:c>
      <x:c r="H6" s="47" t="str">
        <x:v>Required-response steps must validate a selection or explicitly record Skip; Check must not complete without a response.</x:v>
      </x:c>
      <x:c r="I6" s="47" t="str">
        <x:v>Review, Transfer and Check submit buttons call nextCycle() directly; no selection validation is required.</x:v>
      </x:c>
      <x:c r="J6" s="47" t="str">
        <x:v>UX/Prototype</x:v>
      </x:c>
      <x:c r="K6" s="47" t="str">
        <x:v>Add response validation plus separate submit/result/continue states; prevent false completion.</x:v>
      </x:c>
      <x:c r="L6" s="47" t="str"/>
      <x:c r="M6" s="47" t="str">
        <x:v>QC/QA Lead</x:v>
      </x:c>
      <x:c r="N6" s="47" t="str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P2-D003</x:v>
      </x:c>
      <x:c r="B7" s="60" t="str">
        <x:v>2026-09-27</x:v>
      </x:c>
      <x:c r="C7" s="47" t="str">
        <x:v>QA-LRN-008; QA-BIZ-004</x:v>
      </x:c>
      <x:c r="D7" s="47" t="str">
        <x:v>L-024 Retrieve</x:v>
      </x:c>
      <x:c r="E7" s="47" t="str">
        <x:v>P0</x:v>
      </x:c>
      <x:c r="F7" s="47" t="str">
        <x:v>OPEN</x:v>
      </x:c>
      <x:c r="G7" s="47" t="str">
        <x:v>Hint-assisted evidence is lost after submit</x:v>
      </x:c>
      <x:c r="H7" s="47" t="str">
        <x:v>Once a hint is used, the response must remain tagged/presented as assisted through feedback/evidence semantics.</x:v>
      </x:c>
      <x:c r="I7" s="47" t="str">
        <x:v>useHint() sets feedback='hint', but submit overwrites it with good/bad; final copy no longer carries assistance context.</x:v>
      </x:c>
      <x:c r="J7" s="47" t="str">
        <x:v>UX/Prototype</x:v>
      </x:c>
      <x:c r="K7" s="47" t="str">
        <x:v>Persist assisted=true independently from feedback; render assisted feedback/evidence and test hint→answer.</x:v>
      </x:c>
      <x:c r="L7" s="47" t="str"/>
      <x:c r="M7" s="47" t="str">
        <x:v>QC/QA Lead</x:v>
      </x:c>
      <x:c r="N7" s="47" t="str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P2-D004</x:v>
      </x:c>
      <x:c r="B8" s="60" t="str">
        <x:v>2026-09-27</x:v>
      </x:c>
      <x:c r="C8" s="47" t="str">
        <x:v>QA-OFF-002; QA-BIZ-001</x:v>
      </x:c>
      <x:c r="D8" s="47" t="str">
        <x:v>L-060 / Summary</x:v>
      </x:c>
      <x:c r="E8" s="47" t="str">
        <x:v>P1</x:v>
      </x:c>
      <x:c r="F8" s="47" t="str">
        <x:v>OPEN</x:v>
      </x:c>
      <x:c r="G8" s="47" t="str">
        <x:v>Network restoration is presented as Synced without server acknowledgement</x:v>
      </x:c>
      <x:c r="H8" s="47" t="str">
        <x:v>LOCAL_QUEUED, SYNCING and SYNCED must be distinct; SYNCED requires authoritative acknowledgement/canonical state.</x:v>
      </x:c>
      <x:c r="I8" s="47" t="str">
        <x:v>Prototype derives “Synced/All caught up” directly from offline=false, with no receipt/ack/canonical transition.</x:v>
      </x:c>
      <x:c r="J8" s="47" t="str">
        <x:v>UX/Prototype</x:v>
      </x:c>
      <x:c r="K8" s="47" t="str">
        <x:v>Model explicit sync states; show Synced only after simulated server acknowledgement.</x:v>
      </x:c>
      <x:c r="L8" s="47" t="str"/>
      <x:c r="M8" s="47" t="str">
        <x:v>QC/QA Lead</x:v>
      </x:c>
      <x:c r="N8" s="47" t="str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P2-D005</x:v>
      </x:c>
      <x:c r="B9" s="60" t="str">
        <x:v>2026-09-27</x:v>
      </x:c>
      <x:c r="C9" s="47" t="str">
        <x:v>QA-LRN-007</x:v>
      </x:c>
      <x:c r="D9" s="47" t="str">
        <x:v>L-024 Retrieve</x:v>
      </x:c>
      <x:c r="E9" s="47" t="str">
        <x:v>P1</x:v>
      </x:c>
      <x:c r="F9" s="47" t="str">
        <x:v>OPEN</x:v>
      </x:c>
      <x:c r="G9" s="47" t="str">
        <x:v>Retry can loop indefinitely</x:v>
      </x:c>
      <x:c r="H9" s="47" t="str">
        <x:v>Practice retry policy must be bounded/configurable and expose a clear exhausted/final-feedback state.</x:v>
      </x:c>
      <x:c r="I9" s="47" t="str">
        <x:v>Try once more resets selection/feedback with no retry counter or exhaustion state.</x:v>
      </x:c>
      <x:c r="J9" s="47" t="str">
        <x:v>UX/Prototype</x:v>
      </x:c>
      <x:c r="K9" s="47" t="str">
        <x:v>Add attempt counter/state and exhausted branch; preserve first-response evidence.</x:v>
      </x:c>
      <x:c r="L9" s="47" t="str"/>
      <x:c r="M9" s="47" t="str">
        <x:v>QC/QA Lead</x:v>
      </x:c>
      <x:c r="N9" s="47" t="str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 t="str">
        <x:v>P2-D006</x:v>
      </x:c>
      <x:c r="B10" s="60" t="str">
        <x:v>2026-09-27</x:v>
      </x:c>
      <x:c r="C10" s="47" t="str">
        <x:v>QA-OFF-003; QA-OFF-004</x:v>
      </x:c>
      <x:c r="D10" s="47" t="str">
        <x:v>L-061 / canonical refresh</x:v>
      </x:c>
      <x:c r="E10" s="47" t="str">
        <x:v>P1</x:v>
      </x:c>
      <x:c r="F10" s="47" t="str">
        <x:v>OPEN</x:v>
      </x:c>
      <x:c r="G10" s="47" t="str">
        <x:v>Mandatory offline recovery states are specified but not executable</x:v>
      </x:c>
      <x:c r="H10" s="47" t="str">
        <x:v>Sync failure retry and canonical-refresh recovery must be reviewable/testable in the candidate.</x:v>
      </x:c>
      <x:c r="I10" s="47" t="str">
        <x:v>Prototype only exposes offline waiting vs all-caught-up; no interactive retry failure/canonical refresh state.</x:v>
      </x:c>
      <x:c r="J10" s="47" t="str">
        <x:v>UX/Prototype</x:v>
      </x:c>
      <x:c r="K10" s="47" t="str">
        <x:v>Add prototype routes/state switches for retryable failure, partial sync, re-auth, canonical refresh and media unavailable.</x:v>
      </x:c>
      <x:c r="L10" s="47" t="str"/>
      <x:c r="M10" s="47" t="str">
        <x:v>QC/QA Lead</x:v>
      </x:c>
      <x:c r="N10" s="47" t="str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 t="str">
        <x:v>P2-D007</x:v>
      </x:c>
      <x:c r="B11" s="60" t="str">
        <x:v>2026-09-27</x:v>
      </x:c>
      <x:c r="C11" s="47" t="str">
        <x:v>QA-NAV-002; QA-LRN-015</x:v>
      </x:c>
      <x:c r="D11" s="47" t="str">
        <x:v>Onboarding / placement</x:v>
      </x:c>
      <x:c r="E11" s="47" t="str">
        <x:v>P1</x:v>
      </x:c>
      <x:c r="F11" s="47" t="str">
        <x:v>OPEN</x:v>
      </x:c>
      <x:c r="G11" s="47" t="str">
        <x:v>Onboarding and optional placement are not executable in prototype</x:v>
      </x:c>
      <x:c r="H11" s="47" t="str">
        <x:v>Welcome → optional Goal → optional Placement → provisional result → Home must be testable without main-shell nav leakage.</x:v>
      </x:c>
      <x:c r="I11" s="47" t="str">
        <x:v>Specs define the journey, but clickable prototype starts at Home and has no onboarding/placement route.</x:v>
      </x:c>
      <x:c r="J11" s="47" t="str">
        <x:v>UX/Prototype</x:v>
      </x:c>
      <x:c r="K11" s="47" t="str">
        <x:v>Prototype first-use path including skip-placement and provisional/missing-evidence result.</x:v>
      </x:c>
      <x:c r="L11" s="47" t="str"/>
      <x:c r="M11" s="47" t="str">
        <x:v>QC/QA Lead</x:v>
      </x:c>
      <x:c r="N11" s="47" t="str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P2-D008</x:v>
      </x:c>
      <x:c r="B12" s="60" t="str">
        <x:v>2026-09-27</x:v>
      </x:c>
      <x:c r="C12" s="47" t="str">
        <x:v>QA-LRN-014</x:v>
      </x:c>
      <x:c r="D12" s="47" t="str">
        <x:v>Listening surfaces / C-012</x:v>
      </x:c>
      <x:c r="E12" s="47" t="str">
        <x:v>P1</x:v>
      </x:c>
      <x:c r="F12" s="47" t="str">
        <x:v>OPEN</x:v>
      </x:c>
      <x:c r="G12" s="47" t="str">
        <x:v>Listening assessment UX is not concretely represented</x:v>
      </x:c>
      <x:c r="H12" s="47" t="str">
        <x:v>Listening Practice/Check should show offered-play policy, replay state, offline media behavior and non-authoritative client telemetry semantics.</x:v>
      </x:c>
      <x:c r="I12" s="47" t="str">
        <x:v>AudioControl/listening rules exist in text, but the core clickable prototype has no listening item/control/state.</x:v>
      </x:c>
      <x:c r="J12" s="47" t="str">
        <x:v>UX/Content</x:v>
      </x:c>
      <x:c r="K12" s="47" t="str">
        <x:v>Add at least one listening Practice + Check example and media-unavailable state.</x:v>
      </x:c>
      <x:c r="L12" s="47" t="str"/>
      <x:c r="M12" s="47" t="str">
        <x:v>QC/QA Lead</x:v>
      </x:c>
      <x:c r="N12" s="47" t="str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P2-D009</x:v>
      </x:c>
      <x:c r="B13" s="60" t="str">
        <x:v>2026-09-27</x:v>
      </x:c>
      <x:c r="C13" s="47" t="str">
        <x:v>QA-STF-004; QA-STF-007</x:v>
      </x:c>
      <x:c r="D13" s="47" t="str">
        <x:v>S-030..S-034 Content lifecycle</x:v>
      </x:c>
      <x:c r="E13" s="47" t="str">
        <x:v>P1</x:v>
      </x:c>
      <x:c r="F13" s="47" t="str">
        <x:v>OPEN</x:v>
      </x:c>
      <x:c r="G13" s="47" t="str">
        <x:v>Staff review/publish lifecycle is not end-to-end testable</x:v>
      </x:c>
      <x:c r="H13" s="47" t="str">
        <x:v>Draft → review → fix provenance → approve → publish confirmation → immutable published revision should be executable.</x:v>
      </x:c>
      <x:c r="I13" s="47" t="str">
        <x:v>Preview has no handler; review approval is blocked without an interactive resolution path; publish confirmation is absent.</x:v>
      </x:c>
      <x:c r="J13" s="47" t="str">
        <x:v>UX/Prototype</x:v>
      </x:c>
      <x:c r="K13" s="47" t="str">
        <x:v>Implement the full prototype lifecycle and immutable revision confirmation path.</x:v>
      </x:c>
      <x:c r="L13" s="47" t="str"/>
      <x:c r="M13" s="47" t="str">
        <x:v>QC/QA Lead</x:v>
      </x:c>
      <x:c r="N13" s="47" t="str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P2-D010</x:v>
      </x:c>
      <x:c r="B14" s="60" t="str">
        <x:v>2026-09-27</x:v>
      </x:c>
      <x:c r="C14" s="47" t="str">
        <x:v>QA-ACC-007</x:v>
      </x:c>
      <x:c r="D14" s="47" t="str">
        <x:v>Staff Content editor form</x:v>
      </x:c>
      <x:c r="E14" s="47" t="str">
        <x:v>P1</x:v>
      </x:c>
      <x:c r="F14" s="47" t="str">
        <x:v>OPEN</x:v>
      </x:c>
      <x:c r="G14" s="47" t="str">
        <x:v>Staff editor inputs lack programmatic label association</x:v>
      </x:c>
      <x:c r="H14" s="47" t="str">
        <x:v>Critical form controls must expose meaningful accessible names.</x:v>
      </x:c>
      <x:c r="I14" s="47" t="str">
        <x:v>Visible labels are separate &lt;label&gt; elements without for/id binding; inputs have no aria-label/aria-labelledby.</x:v>
      </x:c>
      <x:c r="J14" s="47" t="str">
        <x:v>UX/Accessibility</x:v>
      </x:c>
      <x:c r="K14" s="47" t="str">
        <x:v>Bind label for/id (or equivalent accessible-name mechanism); test with accessibility tree/screen reader.</x:v>
      </x:c>
      <x:c r="L14" s="47" t="str"/>
      <x:c r="M14" s="47" t="str">
        <x:v>QC/QA Lead</x:v>
      </x:c>
      <x:c r="N14" s="47" t="str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P2-D011</x:v>
      </x:c>
      <x:c r="B15" s="60" t="str">
        <x:v>2026-09-27</x:v>
      </x:c>
      <x:c r="C15" s="47" t="str">
        <x:v>QA-HO-001</x:v>
      </x:c>
      <x:c r="D15" s="47" t="str">
        <x:v>Screen specifications / developer handoff</x:v>
      </x:c>
      <x:c r="E15" s="47" t="str">
        <x:v>P1</x:v>
      </x:c>
      <x:c r="F15" s="47" t="str">
        <x:v>OPEN</x:v>
      </x:c>
      <x:c r="G15" s="47" t="str">
        <x:v>Screen specification depth is insufficient for implementation without invention</x:v>
      </x:c>
      <x:c r="H15" s="47" t="str">
        <x:v>Complex screens should define component composition, field/action contracts, validation, state transitions, permissions/dependencies and test hooks.</x:v>
      </x:c>
      <x:c r="I15" s="47" t="str">
        <x:v>Inventory/spec rows define purpose/actions/states/rules, but complex authoring/assessment screens leave implementation-level interaction semantics underspecified.</x:v>
      </x:c>
      <x:c r="J15" s="47" t="str">
        <x:v>Product/UX</x:v>
      </x:c>
      <x:c r="K15" s="47" t="str">
        <x:v>Add per-screen anatomy + interaction/state tables for complex learner assessment and staff content screens.</x:v>
      </x:c>
      <x:c r="L15" s="47" t="str"/>
      <x:c r="M15" s="47" t="str">
        <x:v>QC/QA Lead</x:v>
      </x:c>
      <x:c r="N15" s="47" t="str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P2-D012</x:v>
      </x:c>
      <x:c r="B16" s="60" t="str">
        <x:v>2026-09-27</x:v>
      </x:c>
      <x:c r="C16" s="47" t="str">
        <x:v>QA-HO-001</x:v>
      </x:c>
      <x:c r="D16" s="47" t="str">
        <x:v>Traceability model</x:v>
      </x:c>
      <x:c r="E16" s="47" t="str">
        <x:v>P1</x:v>
      </x:c>
      <x:c r="F16" s="47" t="str">
        <x:v>OPEN</x:v>
      </x:c>
      <x:c r="G16" s="47" t="str">
        <x:v>QA traceability does not directly map screens/states to test cases</x:v>
      </x:c>
      <x:c r="H16" s="47" t="str">
        <x:v>Every gate-critical screen/state should have explicit test coverage references.</x:v>
      </x:c>
      <x:c r="I16" s="47" t="str">
        <x:v>57 screens exist, but no screen ID appears explicitly in QA_TEST_CASES.csv; PRD traceability references 34/57 screens.</x:v>
      </x:c>
      <x:c r="J16" s="47" t="str">
        <x:v>QA/Product</x:v>
      </x:c>
      <x:c r="K16" s="47" t="str">
        <x:v>Create Screen ID → State → Requirement → QA case matrix; mark supporting-only screens explicitly.</x:v>
      </x:c>
      <x:c r="L16" s="47" t="str"/>
      <x:c r="M16" s="47" t="str">
        <x:v>QC/QA Lead</x:v>
      </x:c>
      <x:c r="N16" s="47" t="str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P2-D013</x:v>
      </x:c>
      <x:c r="B17" s="60" t="str">
        <x:v>2026-09-27</x:v>
      </x:c>
      <x:c r="C17" s="47" t="str">
        <x:v>QA-LRN-018</x:v>
      </x:c>
      <x:c r="D17" s="47" t="str">
        <x:v>L-014 Course locked preview</x:v>
      </x:c>
      <x:c r="E17" s="47" t="str">
        <x:v>P1</x:v>
      </x:c>
      <x:c r="F17" s="47" t="str">
        <x:v>OPEN</x:v>
      </x:c>
      <x:c r="G17" s="47" t="str">
        <x:v>Locked-objective Preview control is non-functional</x:v>
      </x:c>
      <x:c r="H17" s="47" t="str">
        <x:v>Preview action should open a non-progressing preview and preserve prerequisite lock semantics.</x:v>
      </x:c>
      <x:c r="I17" s="47" t="str">
        <x:v>Preview button is rendered without onclick/action.</x:v>
      </x:c>
      <x:c r="J17" s="47" t="str">
        <x:v>UX/Prototype</x:v>
      </x:c>
      <x:c r="K17" s="47" t="str">
        <x:v>Implement preview route/modal and prove no progress/unlock side effect.</x:v>
      </x:c>
      <x:c r="L17" s="47" t="str"/>
      <x:c r="M17" s="47" t="str">
        <x:v>QC/QA Lead</x:v>
      </x:c>
      <x:c r="N17" s="47" t="str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P2-D014</x:v>
      </x:c>
      <x:c r="B18" s="60" t="str">
        <x:v>2026-09-27</x:v>
      </x:c>
      <x:c r="C18" s="47" t="str">
        <x:v>QA-ACC-001; QA-ACC-002</x:v>
      </x:c>
      <x:c r="D18" s="47" t="str">
        <x:v>Prototype accessibility semantics</x:v>
      </x:c>
      <x:c r="E18" s="47" t="str">
        <x:v>P2</x:v>
      </x:c>
      <x:c r="F18" s="47" t="str">
        <x:v>OPEN</x:v>
      </x:c>
      <x:c r="G18" s="47" t="str">
        <x:v>Accessibility focus/live-region strategy needs refinement</x:v>
      </x:c>
      <x:c r="H18" s="47" t="str">
        <x:v>Route changes, dynamic feedback and dialogs should announce only relevant changes and preserve predictable focus.</x:v>
      </x:c>
      <x:c r="I18" s="47" t="str">
        <x:v>Whole SPA &lt;main&gt; is aria-live='polite'; no explicit route-change focus, modal focus trap/restore or targeted live-region strategy is documented.</x:v>
      </x:c>
      <x:c r="J18" s="47" t="str">
        <x:v>UX/Accessibility</x:v>
      </x:c>
      <x:c r="K18" s="47" t="str">
        <x:v>Use targeted status/error live regions and specify focus transfer/restore patterns for route changes, sheets and dialogs.</x:v>
      </x:c>
      <x:c r="L18" s="47" t="str"/>
      <x:c r="M18" s="47" t="str">
        <x:v>QC/QA Lead</x:v>
      </x:c>
      <x:c r="N18" s="47" t="str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7" t="str">
        <x:v>P2-D015</x:v>
      </x:c>
      <x:c r="B19" s="60" t="str">
        <x:v>2026-09-27</x:v>
      </x:c>
      <x:c r="C19" s="47" t="str">
        <x:v>QA-ACC-004</x:v>
      </x:c>
      <x:c r="D19" s="47" t="str">
        <x:v>Design token / CSS focus</x:v>
      </x:c>
      <x:c r="E19" s="47" t="str">
        <x:v>P2</x:v>
      </x:c>
      <x:c r="F19" s="47" t="str">
        <x:v>OPEN</x:v>
      </x:c>
      <x:c r="G19" s="47" t="str">
        <x:v>Prototype focus indicator bypasses semantic focus token</x:v>
      </x:c>
      <x:c r="H19" s="47" t="str">
        <x:v>Prototype should consume the semantic focus token consistently.</x:v>
      </x:c>
      <x:c r="I19" s="47" t="str">
        <x:v>CSS defines --focus:#7C3AED but :focus-visible hardcodes #C4B5FD.</x:v>
      </x:c>
      <x:c r="J19" s="47" t="str">
        <x:v>UX/Design System</x:v>
      </x:c>
      <x:c r="K19" s="47" t="str">
        <x:v>Use var(--focus) or document a dedicated validated focus-ring token.</x:v>
      </x:c>
      <x:c r="L19" s="47" t="str"/>
      <x:c r="M19" s="47" t="str">
        <x:v>QC/QA Lead</x:v>
      </x:c>
      <x:c r="N19" s="47" t="str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7" t="str">
        <x:v>P2-D016</x:v>
      </x:c>
      <x:c r="B20" s="60" t="str">
        <x:v>2026-09-27</x:v>
      </x:c>
      <x:c r="C20" s="47" t="str">
        <x:v>QA-HO-001</x:v>
      </x:c>
      <x:c r="D20" s="47" t="str">
        <x:v>Learning content examples</x:v>
      </x:c>
      <x:c r="E20" s="47" t="str">
        <x:v>P1</x:v>
      </x:c>
      <x:c r="F20" s="47" t="str">
        <x:v>OPEN</x:v>
      </x:c>
      <x:c r="G20" s="47" t="str">
        <x:v>Grammar learning UX is not concretely demonstrated</x:v>
      </x:c>
      <x:c r="H20" s="47" t="str">
        <x:v>Phase 2 should demonstrate the chosen interaction/state pattern for Vocabulary, Grammar and Listening MVP domains.</x:v>
      </x:c>
      <x:c r="I20" s="47" t="str">
        <x:v>Core prototype demonstrates simple greeting multiple-choice interactions but no grammar scaffold/practice/transfer/check example.</x:v>
      </x:c>
      <x:c r="J20" s="47" t="str">
        <x:v>UX/Content</x:v>
      </x:c>
      <x:c r="K20" s="47" t="str">
        <x:v>Add representative grammar flow with validation, feedback, assisted practice and independent Check.</x:v>
      </x:c>
      <x:c r="L20" s="47" t="str"/>
      <x:c r="M20" s="47" t="str">
        <x:v>QC/QA Lead</x:v>
      </x:c>
      <x:c r="N20" s="47" t="str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7"/>
      <x:c r="B21" s="60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7"/>
      <x:c r="B22" s="60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7"/>
      <x:c r="B23" s="60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7"/>
      <x:c r="B24" s="60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61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61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61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61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61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61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61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61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61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61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61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61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61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61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61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61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61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61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61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61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61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61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61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61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61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61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61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61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61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61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61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61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61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61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61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61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61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61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61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61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61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61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61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61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61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61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61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61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61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61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61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61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61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61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61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61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61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61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61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61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61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61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61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61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61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61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61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61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61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61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61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61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61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61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61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61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61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61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61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61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61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61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61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61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61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61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61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61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61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61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61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61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61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61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61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61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61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61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61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61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61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61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61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61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61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61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61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61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61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61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61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61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61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61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61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61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61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61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61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61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61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61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61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61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61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61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61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61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61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61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61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61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61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61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61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61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61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61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61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61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61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61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61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61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61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61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61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61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61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61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61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61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61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61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61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61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61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61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61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61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61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61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61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61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61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61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61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61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61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61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61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61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61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61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61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61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N1"/>
    <x:mergeCell ref="A2:N2"/>
  </x:mergeCells>
  <x:dataValidations count="2">
    <x:dataValidation type="list" sqref="E5:E200">
      <x:formula1>"P0,P1,P2,P3"</x:formula1>
    </x:dataValidation>
    <x:dataValidation type="list" sqref="F5:F200">
      <x:formula1>"OPEN,IN PROGRESS,READY FOR RETEST,CLOSED,WONT FIX ACCEPTED,DUPLICATE"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36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38" hidden="0" customWidth="1"/>
    <x:col min="12" max="12" width="24" hidden="0" customWidth="1"/>
  </x:cols>
  <x:sheetData>
    <x:row r="1" ht="28" customHeight="1">
      <x:c r="A1" s="4" t="str">
        <x:v>TEST RUN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One row per candidate/run; preserve environment and evidence.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Run ID</x:v>
      </x:c>
      <x:c r="B4" s="46" t="str">
        <x:v>Candidate/Commit</x:v>
      </x:c>
      <x:c r="C4" s="46" t="str">
        <x:v>Date</x:v>
      </x:c>
      <x:c r="D4" s="46" t="str">
        <x:v>Environment</x:v>
      </x:c>
      <x:c r="E4" s="46" t="str">
        <x:v>Tester</x:v>
      </x:c>
      <x:c r="F4" s="46" t="str">
        <x:v>Planned</x:v>
      </x:c>
      <x:c r="G4" s="46" t="str">
        <x:v>Passed</x:v>
      </x:c>
      <x:c r="H4" s="46" t="str">
        <x:v>Failed</x:v>
      </x:c>
      <x:c r="I4" s="46" t="str">
        <x:v>Blocked</x:v>
      </x:c>
      <x:c r="J4" s="46" t="str">
        <x:v>Pass rate</x:v>
      </x:c>
      <x:c r="K4" s="46" t="str">
        <x:v>Evidence</x:v>
      </x:c>
      <x:c r="L4" s="46" t="str">
        <x:v>Decision</x:v>
      </x:c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/>
      <x:c r="B5" s="47"/>
      <x:c r="C5" s="60"/>
      <x:c r="D5" s="47"/>
      <x:c r="E5" s="47"/>
      <x:c r="F5" s="47"/>
      <x:c r="G5" s="47"/>
      <x:c r="H5" s="47"/>
      <x:c r="I5" s="47"/>
      <x:c r="J5" s="64" t="str">
        <x:f>IF(F5=0,"",G5/F5)</x:f>
      </x:c>
      <x:c r="K5" s="47"/>
      <x:c r="L5" s="47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/>
      <x:c r="B6" s="47"/>
      <x:c r="C6" s="60"/>
      <x:c r="D6" s="47"/>
      <x:c r="E6" s="47"/>
      <x:c r="F6" s="47"/>
      <x:c r="G6" s="47"/>
      <x:c r="H6" s="47"/>
      <x:c r="I6" s="47"/>
      <x:c r="J6" s="64" t="str">
        <x:f>IF(F6=0,"",G6/F6)</x:f>
      </x:c>
      <x:c r="K6" s="47"/>
      <x:c r="L6" s="47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/>
      <x:c r="B7" s="47"/>
      <x:c r="C7" s="60"/>
      <x:c r="D7" s="47"/>
      <x:c r="E7" s="47"/>
      <x:c r="F7" s="47"/>
      <x:c r="G7" s="47"/>
      <x:c r="H7" s="47"/>
      <x:c r="I7" s="47"/>
      <x:c r="J7" s="64" t="str">
        <x:f>IF(F7=0,"",G7/F7)</x:f>
      </x:c>
      <x:c r="K7" s="47"/>
      <x:c r="L7" s="47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/>
      <x:c r="B8" s="47"/>
      <x:c r="C8" s="60"/>
      <x:c r="D8" s="47"/>
      <x:c r="E8" s="47"/>
      <x:c r="F8" s="47"/>
      <x:c r="G8" s="47"/>
      <x:c r="H8" s="47"/>
      <x:c r="I8" s="47"/>
      <x:c r="J8" s="64" t="str">
        <x:f>IF(F8=0,"",G8/F8)</x:f>
      </x:c>
      <x:c r="K8" s="47"/>
      <x:c r="L8" s="47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/>
      <x:c r="B9" s="47"/>
      <x:c r="C9" s="60"/>
      <x:c r="D9" s="47"/>
      <x:c r="E9" s="47"/>
      <x:c r="F9" s="47"/>
      <x:c r="G9" s="47"/>
      <x:c r="H9" s="47"/>
      <x:c r="I9" s="47"/>
      <x:c r="J9" s="64" t="str">
        <x:f>IF(F9=0,"",G9/F9)</x:f>
      </x:c>
      <x:c r="K9" s="47"/>
      <x:c r="L9" s="47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7"/>
      <x:c r="B10" s="47"/>
      <x:c r="C10" s="60"/>
      <x:c r="D10" s="47"/>
      <x:c r="E10" s="47"/>
      <x:c r="F10" s="47"/>
      <x:c r="G10" s="47"/>
      <x:c r="H10" s="47"/>
      <x:c r="I10" s="47"/>
      <x:c r="J10" s="64" t="str">
        <x:f>IF(F10=0,"",G10/F10)</x:f>
      </x:c>
      <x:c r="K10" s="47"/>
      <x:c r="L10" s="47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7"/>
      <x:c r="B11" s="47"/>
      <x:c r="C11" s="60"/>
      <x:c r="D11" s="47"/>
      <x:c r="E11" s="47"/>
      <x:c r="F11" s="47"/>
      <x:c r="G11" s="47"/>
      <x:c r="H11" s="47"/>
      <x:c r="I11" s="47"/>
      <x:c r="J11" s="64" t="str">
        <x:f>IF(F11=0,"",G11/F11)</x:f>
      </x:c>
      <x:c r="K11" s="47"/>
      <x:c r="L11" s="47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/>
      <x:c r="B12" s="47"/>
      <x:c r="C12" s="60"/>
      <x:c r="D12" s="47"/>
      <x:c r="E12" s="47"/>
      <x:c r="F12" s="47"/>
      <x:c r="G12" s="47"/>
      <x:c r="H12" s="47"/>
      <x:c r="I12" s="47"/>
      <x:c r="J12" s="64" t="str">
        <x:f>IF(F12=0,"",G12/F12)</x:f>
      </x:c>
      <x:c r="K12" s="47"/>
      <x:c r="L12" s="47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/>
      <x:c r="B13" s="47"/>
      <x:c r="C13" s="60"/>
      <x:c r="D13" s="47"/>
      <x:c r="E13" s="47"/>
      <x:c r="F13" s="47"/>
      <x:c r="G13" s="47"/>
      <x:c r="H13" s="47"/>
      <x:c r="I13" s="47"/>
      <x:c r="J13" s="64" t="str">
        <x:f>IF(F13=0,"",G13/F13)</x:f>
      </x:c>
      <x:c r="K13" s="47"/>
      <x:c r="L13" s="47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/>
      <x:c r="B14" s="47"/>
      <x:c r="C14" s="60"/>
      <x:c r="D14" s="47"/>
      <x:c r="E14" s="47"/>
      <x:c r="F14" s="47"/>
      <x:c r="G14" s="47"/>
      <x:c r="H14" s="47"/>
      <x:c r="I14" s="47"/>
      <x:c r="J14" s="64" t="str">
        <x:f>IF(F14=0,"",G14/F14)</x:f>
      </x:c>
      <x:c r="K14" s="47"/>
      <x:c r="L14" s="47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61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61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61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61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61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61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61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61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61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61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61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61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61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61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61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61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61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61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61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61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61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61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61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61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61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61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61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61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61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61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61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61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61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61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61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61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L1"/>
    <x:mergeCell ref="A2:L2"/>
  </x:mergeCells>
  <x:conditionalFormatting sqref="L5:L50">
    <x:cfRule type="expression" dxfId="36" priority="1">
      <x:formula>$L5="PASS"</x:formula>
    </x:cfRule>
    <x:cfRule type="expression" dxfId="37" priority="2">
      <x:formula>$L5="DONE"</x:formula>
    </x:cfRule>
    <x:cfRule type="expression" dxfId="38" priority="3">
      <x:formula>$L5="SIGNED"</x:formula>
    </x:cfRule>
    <x:cfRule type="expression" dxfId="39" priority="4">
      <x:formula>$L5="ACCEPTED"</x:formula>
    </x:cfRule>
    <x:cfRule type="expression" dxfId="40" priority="5">
      <x:formula>$L5="FAIL"</x:formula>
    </x:cfRule>
    <x:cfRule type="expression" dxfId="41" priority="6">
      <x:formula>$L5="BLOCKED"</x:formula>
    </x:cfRule>
    <x:cfRule type="expression" dxfId="42" priority="7">
      <x:formula>$L5="NOT PASSED"</x:formula>
    </x:cfRule>
    <x:cfRule type="expression" dxfId="43" priority="8">
      <x:formula>$L5="NOT RUN"</x:formula>
    </x:cfRule>
    <x:cfRule type="expression" dxfId="44" priority="9">
      <x:formula>$L5="PENDING"</x:formula>
    </x:cfRule>
    <x:cfRule type="expression" dxfId="45" priority="10">
      <x:formula>$L5="IN PROGRESS"</x:formula>
    </x:cfRule>
    <x:cfRule type="expression" dxfId="46" priority="11">
      <x:formula>$L5="READY"</x:formula>
    </x:cfRule>
    <x:cfRule type="expression" dxfId="47" priority="12">
      <x:formula>$L5="DEFERRED"</x:formula>
    </x:cfRule>
  </x:conditionalFormatting>
  <x:dataValidations count="1">
    <x:dataValidation type="list" sqref="L5:L50">
      <x:formula1>"IN PROGRESS,REJECTED,READY FOR SIGNOFF,ACCEPTED"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34" hidden="0" customWidth="1"/>
    <x:col min="6" max="6" width="42" hidden="0" customWidth="1"/>
  </x:cols>
  <x:sheetData>
    <x:row r="1" ht="28" customHeight="1">
      <x:c r="A1" s="4" t="str">
        <x:v>PHASE 2 SIGNOFF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Only complete after exit criteria. Signed Phase 2 makes Phase 3 eligible.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Role</x:v>
      </x:c>
      <x:c r="B4" s="46" t="str">
        <x:v>Name</x:v>
      </x:c>
      <x:c r="C4" s="46" t="str">
        <x:v>Decision</x:v>
      </x:c>
      <x:c r="D4" s="46" t="str">
        <x:v>Date</x:v>
      </x:c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QC Lead</x:v>
      </x:c>
      <x:c r="B5" s="47" t="str"/>
      <x:c r="C5" s="47" t="str">
        <x:v>PENDING</x:v>
      </x:c>
      <x:c r="D5" s="60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QA Lead</x:v>
      </x:c>
      <x:c r="B6" s="47" t="str"/>
      <x:c r="C6" s="47" t="str">
        <x:v>PENDING</x:v>
      </x:c>
      <x:c r="D6" s="60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Tech Lead</x:v>
      </x:c>
      <x:c r="B7" s="47" t="str"/>
      <x:c r="C7" s="47" t="str">
        <x:v>PENDING</x:v>
      </x:c>
      <x:c r="D7" s="60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Product/Owner</x:v>
      </x:c>
      <x:c r="B8" s="47" t="str"/>
      <x:c r="C8" s="47" t="str">
        <x:v>PENDING</x:v>
      </x:c>
      <x:c r="D8" s="60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6" t="str">
        <x:v>Exit criterion</x:v>
      </x:c>
      <x:c r="B11" s="46" t="str">
        <x:v>Required</x:v>
      </x:c>
      <x:c r="C11" s="46" t="str">
        <x:v>Observed</x:v>
      </x:c>
      <x:c r="D11" s="46" t="str">
        <x:v>Status</x:v>
      </x:c>
      <x:c r="E11" s="46" t="str">
        <x:v>Evidence</x:v>
      </x:c>
      <x:c r="F11" s="46" t="str">
        <x:v>Notes</x:v>
      </x:c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7" t="str">
        <x:v>P0 cases</x:v>
      </x:c>
      <x:c r="B12" s="47" t="str">
        <x:v>100% PASS</x:v>
      </x:c>
      <x:c r="C12" s="47" t="str"/>
      <x:c r="D12" s="47" t="str">
        <x:v>PENDING</x:v>
      </x:c>
      <x:c r="E12" s="47" t="str"/>
      <x:c r="F12" s="47" t="str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7" t="str">
        <x:v>Open P0/P1 defects</x:v>
      </x:c>
      <x:c r="B13" s="47" t="str">
        <x:v>0</x:v>
      </x:c>
      <x:c r="C13" s="47" t="str"/>
      <x:c r="D13" s="47" t="str">
        <x:v>PENDING</x:v>
      </x:c>
      <x:c r="E13" s="47" t="str"/>
      <x:c r="F13" s="47" t="str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7" t="str">
        <x:v>Overall pass rate</x:v>
      </x:c>
      <x:c r="B14" s="47" t="str">
        <x:v>≥95%</x:v>
      </x:c>
      <x:c r="C14" s="47" t="str"/>
      <x:c r="D14" s="47" t="str">
        <x:v>PENDING</x:v>
      </x:c>
      <x:c r="E14" s="47" t="str"/>
      <x:c r="F14" s="47" t="str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7" t="str">
        <x:v>PRD traceability</x:v>
      </x:c>
      <x:c r="B15" s="47" t="str">
        <x:v>16/16</x:v>
      </x:c>
      <x:c r="C15" s="47" t="str"/>
      <x:c r="D15" s="47" t="str">
        <x:v>READY</x:v>
      </x:c>
      <x:c r="E15" s="47" t="str">
        <x:v>03_PRD_Traceability</x:v>
      </x:c>
      <x:c r="F15" s="47" t="str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7" t="str">
        <x:v>Accessibility mandatory</x:v>
      </x:c>
      <x:c r="B16" s="47" t="str">
        <x:v>PASS</x:v>
      </x:c>
      <x:c r="C16" s="47" t="str"/>
      <x:c r="D16" s="47" t="str">
        <x:v>PENDING</x:v>
      </x:c>
      <x:c r="E16" s="47" t="str"/>
      <x:c r="F16" s="47" t="str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7" t="str">
        <x:v>Developer handoff</x:v>
      </x:c>
      <x:c r="B17" s="47" t="str">
        <x:v>ACCEPTED</x:v>
      </x:c>
      <x:c r="C17" s="47" t="str"/>
      <x:c r="D17" s="47" t="str">
        <x:v>PENDING</x:v>
      </x:c>
      <x:c r="E17" s="47" t="str"/>
      <x:c r="F17" s="47" t="str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7" t="str">
        <x:v>Product UX/UAT</x:v>
      </x:c>
      <x:c r="B18" s="47" t="str">
        <x:v>ACCEPTED</x:v>
      </x:c>
      <x:c r="C18" s="47" t="str"/>
      <x:c r="D18" s="47" t="str">
        <x:v>PENDING</x:v>
      </x:c>
      <x:c r="E18" s="47" t="str"/>
      <x:c r="F18" s="47" t="str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conditionalFormatting sqref="C5:C8">
    <x:cfRule type="expression" dxfId="48" priority="1">
      <x:formula>$C5="PASS"</x:formula>
    </x:cfRule>
    <x:cfRule type="expression" dxfId="49" priority="2">
      <x:formula>$C5="DONE"</x:formula>
    </x:cfRule>
    <x:cfRule type="expression" dxfId="50" priority="3">
      <x:formula>$C5="SIGNED"</x:formula>
    </x:cfRule>
    <x:cfRule type="expression" dxfId="51" priority="4">
      <x:formula>$C5="ACCEPTED"</x:formula>
    </x:cfRule>
    <x:cfRule type="expression" dxfId="52" priority="5">
      <x:formula>$C5="FAIL"</x:formula>
    </x:cfRule>
    <x:cfRule type="expression" dxfId="53" priority="6">
      <x:formula>$C5="BLOCKED"</x:formula>
    </x:cfRule>
    <x:cfRule type="expression" dxfId="54" priority="7">
      <x:formula>$C5="NOT PASSED"</x:formula>
    </x:cfRule>
    <x:cfRule type="expression" dxfId="55" priority="8">
      <x:formula>$C5="NOT RUN"</x:formula>
    </x:cfRule>
    <x:cfRule type="expression" dxfId="56" priority="9">
      <x:formula>$C5="PENDING"</x:formula>
    </x:cfRule>
    <x:cfRule type="expression" dxfId="57" priority="10">
      <x:formula>$C5="IN PROGRESS"</x:formula>
    </x:cfRule>
    <x:cfRule type="expression" dxfId="58" priority="11">
      <x:formula>$C5="READY"</x:formula>
    </x:cfRule>
    <x:cfRule type="expression" dxfId="59" priority="12">
      <x:formula>$C5="DEFERRED"</x:formula>
    </x:cfRule>
  </x:conditionalFormatting>
  <x:conditionalFormatting sqref="D12:D18">
    <x:cfRule type="expression" dxfId="60" priority="13">
      <x:formula>$D12="PASS"</x:formula>
    </x:cfRule>
    <x:cfRule type="expression" dxfId="61" priority="14">
      <x:formula>$D12="DONE"</x:formula>
    </x:cfRule>
    <x:cfRule type="expression" dxfId="62" priority="15">
      <x:formula>$D12="SIGNED"</x:formula>
    </x:cfRule>
    <x:cfRule type="expression" dxfId="63" priority="16">
      <x:formula>$D12="ACCEPTED"</x:formula>
    </x:cfRule>
    <x:cfRule type="expression" dxfId="64" priority="17">
      <x:formula>$D12="FAIL"</x:formula>
    </x:cfRule>
    <x:cfRule type="expression" dxfId="65" priority="18">
      <x:formula>$D12="BLOCKED"</x:formula>
    </x:cfRule>
    <x:cfRule type="expression" dxfId="66" priority="19">
      <x:formula>$D12="NOT PASSED"</x:formula>
    </x:cfRule>
    <x:cfRule type="expression" dxfId="67" priority="20">
      <x:formula>$D12="NOT RUN"</x:formula>
    </x:cfRule>
    <x:cfRule type="expression" dxfId="68" priority="21">
      <x:formula>$D12="PENDING"</x:formula>
    </x:cfRule>
    <x:cfRule type="expression" dxfId="69" priority="22">
      <x:formula>$D12="IN PROGRESS"</x:formula>
    </x:cfRule>
    <x:cfRule type="expression" dxfId="70" priority="23">
      <x:formula>$D12="READY"</x:formula>
    </x:cfRule>
    <x:cfRule type="expression" dxfId="71" priority="24">
      <x:formula>$D12="DEFERRED"</x:formula>
    </x:cfRule>
  </x:conditionalFormatting>
  <x:dataValidations count="2">
    <x:dataValidation type="list" sqref="C5:C8">
      <x:formula1>"PENDING,SIGNED,REJECTED"</x:formula1>
    </x:dataValidation>
    <x:dataValidation type="list" sqref="D12:D18">
      <x:formula1>"PENDING,PASS,FAIL,READY,ACCEPTED"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4" t="str">
        <x:v>CONTROLLED VALUES / REFERENCE</x:v>
      </x:c>
      <x:c r="B1" s="4"/>
      <x:c r="C1" s="4"/>
      <x:c r="D1" s="4"/>
      <x:c r="E1" s="4"/>
      <x:c r="F1" s="4"/>
      <x:c r="G1" s="4"/>
      <x:c r="H1" s="4"/>
      <x:c r="I1" s="58"/>
      <x:c r="J1" s="58"/>
      <x:c r="K1" s="58"/>
      <x:c r="L1" s="58"/>
      <x:c r="M1" s="58"/>
      <x:c r="N1" s="58"/>
      <x:c r="O1" s="58"/>
      <x:c r="P1" s="58"/>
      <x:c r="Q1" s="58"/>
      <x:c r="R1" s="58"/>
      <x:c r="S1" s="58"/>
      <x:c r="T1" s="58"/>
      <x:c r="U1" s="58"/>
      <x:c r="V1" s="58"/>
      <x:c r="W1" s="58"/>
      <x:c r="X1" s="58"/>
      <x:c r="Y1" s="58"/>
      <x:c r="Z1" s="58"/>
    </x:row>
    <x:row r="2" ht="34" customHeight="1">
      <x:c r="A2" s="11" t="str">
        <x:v>Stable enumerations used by QA workbook.</x:v>
      </x:c>
      <x:c r="B2" s="11"/>
      <x:c r="C2" s="11"/>
      <x:c r="D2" s="11"/>
      <x:c r="E2" s="11"/>
      <x:c r="F2" s="11"/>
      <x:c r="G2" s="11"/>
      <x:c r="H2" s="11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</x:row>
    <x:row r="4">
      <x:c r="A4" s="46" t="str">
        <x:v>List</x:v>
      </x:c>
      <x:c r="B4" s="46" t="str">
        <x:v>1</x:v>
      </x:c>
      <x:c r="C4" s="46" t="str">
        <x:v>2</x:v>
      </x:c>
      <x:c r="D4" s="46" t="str">
        <x:v>3</x:v>
      </x:c>
      <x:c r="E4" s="46" t="str">
        <x:v>4</x:v>
      </x:c>
      <x:c r="F4" s="46" t="str">
        <x:v>5</x:v>
      </x:c>
      <x:c r="G4" s="46" t="str">
        <x:v>6</x:v>
      </x:c>
      <x:c r="H4" s="46" t="str">
        <x:v>7</x:v>
      </x:c>
      <x:c r="I4" s="45"/>
      <x:c r="J4" s="45"/>
      <x:c r="K4" s="45"/>
      <x:c r="L4" s="45"/>
      <x:c r="M4" s="45"/>
      <x:c r="N4" s="45"/>
      <x:c r="O4" s="45"/>
      <x:c r="P4" s="45"/>
      <x:c r="Q4" s="45"/>
      <x:c r="R4" s="45"/>
      <x:c r="S4" s="45"/>
      <x:c r="T4" s="45"/>
      <x:c r="U4" s="45"/>
      <x:c r="V4" s="45"/>
      <x:c r="W4" s="45"/>
      <x:c r="X4" s="45"/>
      <x:c r="Y4" s="45"/>
      <x:c r="Z4" s="45"/>
    </x:row>
    <x:row r="5">
      <x:c r="A5" s="47" t="str">
        <x:v>Test status</x:v>
      </x:c>
      <x:c r="B5" s="47" t="str">
        <x:v>NOT RUN</x:v>
      </x:c>
      <x:c r="C5" s="47" t="str">
        <x:v>IN PROGRESS</x:v>
      </x:c>
      <x:c r="D5" s="47" t="str">
        <x:v>PASS</x:v>
      </x:c>
      <x:c r="E5" s="47" t="str">
        <x:v>FAIL</x:v>
      </x:c>
      <x:c r="F5" s="47" t="str">
        <x:v>BLOCKED</x:v>
      </x:c>
      <x:c r="G5" s="47" t="str">
        <x:v>DEFERRED</x:v>
      </x:c>
      <x:c r="H5" s="47" t="str"/>
      <x:c r="I5" s="45"/>
      <x:c r="J5" s="45"/>
      <x:c r="K5" s="45"/>
      <x:c r="L5" s="45"/>
      <x:c r="M5" s="45"/>
      <x:c r="N5" s="45"/>
      <x:c r="O5" s="45"/>
      <x:c r="P5" s="45"/>
      <x:c r="Q5" s="45"/>
      <x:c r="R5" s="45"/>
      <x:c r="S5" s="45"/>
      <x:c r="T5" s="45"/>
      <x:c r="U5" s="45"/>
      <x:c r="V5" s="45"/>
      <x:c r="W5" s="45"/>
      <x:c r="X5" s="45"/>
      <x:c r="Y5" s="45"/>
      <x:c r="Z5" s="45"/>
    </x:row>
    <x:row r="6">
      <x:c r="A6" s="47" t="str">
        <x:v>Severity</x:v>
      </x:c>
      <x:c r="B6" s="47" t="str">
        <x:v>P0</x:v>
      </x:c>
      <x:c r="C6" s="47" t="str">
        <x:v>P1</x:v>
      </x:c>
      <x:c r="D6" s="47" t="str">
        <x:v>P2</x:v>
      </x:c>
      <x:c r="E6" s="47" t="str">
        <x:v>P3</x:v>
      </x:c>
      <x:c r="F6" s="47" t="str"/>
      <x:c r="G6" s="47" t="str"/>
      <x:c r="H6" s="47" t="str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</x:row>
    <x:row r="7">
      <x:c r="A7" s="47" t="str">
        <x:v>Defect status</x:v>
      </x:c>
      <x:c r="B7" s="47" t="str">
        <x:v>OPEN</x:v>
      </x:c>
      <x:c r="C7" s="47" t="str">
        <x:v>IN PROGRESS</x:v>
      </x:c>
      <x:c r="D7" s="47" t="str">
        <x:v>READY FOR RETEST</x:v>
      </x:c>
      <x:c r="E7" s="47" t="str">
        <x:v>CLOSED</x:v>
      </x:c>
      <x:c r="F7" s="47" t="str">
        <x:v>WONT FIX ACCEPTED</x:v>
      </x:c>
      <x:c r="G7" s="47" t="str">
        <x:v>DUPLICATE</x:v>
      </x:c>
      <x:c r="H7" s="47" t="str"/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</x:row>
    <x:row r="8">
      <x:c r="A8" s="47" t="str">
        <x:v>Signoff</x:v>
      </x:c>
      <x:c r="B8" s="47" t="str">
        <x:v>PENDING</x:v>
      </x:c>
      <x:c r="C8" s="47" t="str">
        <x:v>SIGNED</x:v>
      </x:c>
      <x:c r="D8" s="47" t="str">
        <x:v>REJECTED</x:v>
      </x:c>
      <x:c r="E8" s="47" t="str"/>
      <x:c r="F8" s="47" t="str"/>
      <x:c r="G8" s="47" t="str"/>
      <x:c r="H8" s="47" t="str"/>
      <x:c r="I8" s="45"/>
      <x:c r="J8" s="45"/>
      <x:c r="K8" s="45"/>
      <x:c r="L8" s="45"/>
      <x:c r="M8" s="45"/>
      <x:c r="N8" s="45"/>
      <x:c r="O8" s="45"/>
      <x:c r="P8" s="45"/>
      <x:c r="Q8" s="45"/>
      <x:c r="R8" s="45"/>
      <x:c r="S8" s="45"/>
      <x:c r="T8" s="45"/>
      <x:c r="U8" s="45"/>
      <x:c r="V8" s="45"/>
      <x:c r="W8" s="45"/>
      <x:c r="X8" s="45"/>
      <x:c r="Y8" s="45"/>
      <x:c r="Z8" s="45"/>
    </x:row>
    <x:row r="9">
      <x:c r="A9" s="47" t="str">
        <x:v>Run decision</x:v>
      </x:c>
      <x:c r="B9" s="47" t="str">
        <x:v>IN PROGRESS</x:v>
      </x:c>
      <x:c r="C9" s="47" t="str">
        <x:v>REJECTED</x:v>
      </x:c>
      <x:c r="D9" s="47" t="str">
        <x:v>READY FOR SIGNOFF</x:v>
      </x:c>
      <x:c r="E9" s="47" t="str">
        <x:v>ACCEPTED</x:v>
      </x:c>
      <x:c r="F9" s="47" t="str"/>
      <x:c r="G9" s="47" t="str"/>
      <x:c r="H9" s="47" t="str"/>
      <x:c r="I9" s="45"/>
      <x:c r="J9" s="45"/>
      <x:c r="K9" s="45"/>
      <x:c r="L9" s="45"/>
      <x:c r="M9" s="45"/>
      <x:c r="N9" s="45"/>
      <x:c r="O9" s="45"/>
      <x:c r="P9" s="45"/>
      <x:c r="Q9" s="45"/>
      <x:c r="R9" s="45"/>
      <x:c r="S9" s="45"/>
      <x:c r="T9" s="45"/>
      <x:c r="U9" s="45"/>
      <x:c r="V9" s="45"/>
      <x:c r="W9" s="45"/>
      <x:c r="X9" s="45"/>
      <x:c r="Y9" s="45"/>
      <x:c r="Z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45"/>
      <x:c r="Q11" s="45"/>
      <x:c r="R11" s="45"/>
      <x:c r="S11" s="45"/>
      <x:c r="T11" s="45"/>
      <x:c r="U11" s="45"/>
      <x:c r="V11" s="45"/>
      <x:c r="W11" s="45"/>
      <x:c r="X11" s="45"/>
      <x:c r="Y11" s="45"/>
      <x:c r="Z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  <x:c r="S13" s="45"/>
      <x:c r="T13" s="45"/>
      <x:c r="U13" s="45"/>
      <x:c r="V13" s="45"/>
      <x:c r="W13" s="45"/>
      <x:c r="X13" s="45"/>
      <x:c r="Y13" s="45"/>
      <x:c r="Z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  <x:c r="S14" s="45"/>
      <x:c r="T14" s="45"/>
      <x:c r="U14" s="45"/>
      <x:c r="V14" s="45"/>
      <x:c r="W14" s="45"/>
      <x:c r="X14" s="45"/>
      <x:c r="Y14" s="45"/>
      <x:c r="Z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  <x:c r="S16" s="45"/>
      <x:c r="T16" s="45"/>
      <x:c r="U16" s="45"/>
      <x:c r="V16" s="45"/>
      <x:c r="W16" s="45"/>
      <x:c r="X16" s="45"/>
      <x:c r="Y16" s="45"/>
      <x:c r="Z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  <x:c r="S17" s="45"/>
      <x:c r="T17" s="45"/>
      <x:c r="U17" s="45"/>
      <x:c r="V17" s="45"/>
      <x:c r="W17" s="45"/>
      <x:c r="X17" s="45"/>
      <x:c r="Y17" s="45"/>
      <x:c r="Z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  <x:c r="S18" s="45"/>
      <x:c r="T18" s="45"/>
      <x:c r="U18" s="45"/>
      <x:c r="V18" s="45"/>
      <x:c r="W18" s="45"/>
      <x:c r="X18" s="45"/>
      <x:c r="Y18" s="45"/>
      <x:c r="Z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  <x:c r="S19" s="45"/>
      <x:c r="T19" s="45"/>
      <x:c r="U19" s="45"/>
      <x:c r="V19" s="45"/>
      <x:c r="W19" s="45"/>
      <x:c r="X19" s="45"/>
      <x:c r="Y19" s="45"/>
      <x:c r="Z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  <x:c r="S21" s="45"/>
      <x:c r="T21" s="45"/>
      <x:c r="U21" s="45"/>
      <x:c r="V21" s="45"/>
      <x:c r="W21" s="45"/>
      <x:c r="X21" s="45"/>
      <x:c r="Y21" s="45"/>
      <x:c r="Z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  <x:c r="S22" s="45"/>
      <x:c r="T22" s="45"/>
      <x:c r="U22" s="45"/>
      <x:c r="V22" s="45"/>
      <x:c r="W22" s="45"/>
      <x:c r="X22" s="45"/>
      <x:c r="Y22" s="45"/>
      <x:c r="Z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  <x:c r="S26" s="45"/>
      <x:c r="T26" s="45"/>
      <x:c r="U26" s="45"/>
      <x:c r="V26" s="45"/>
      <x:c r="W26" s="45"/>
      <x:c r="X26" s="45"/>
      <x:c r="Y26" s="45"/>
      <x:c r="Z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  <x:c r="S27" s="45"/>
      <x:c r="T27" s="45"/>
      <x:c r="U27" s="45"/>
      <x:c r="V27" s="45"/>
      <x:c r="W27" s="45"/>
      <x:c r="X27" s="45"/>
      <x:c r="Y27" s="45"/>
      <x:c r="Z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  <x:c r="S29" s="45"/>
      <x:c r="T29" s="45"/>
      <x:c r="U29" s="45"/>
      <x:c r="V29" s="45"/>
      <x:c r="W29" s="45"/>
      <x:c r="X29" s="45"/>
      <x:c r="Y29" s="45"/>
      <x:c r="Z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  <x:c r="S30" s="45"/>
      <x:c r="T30" s="45"/>
      <x:c r="U30" s="45"/>
      <x:c r="V30" s="45"/>
      <x:c r="W30" s="45"/>
      <x:c r="X30" s="45"/>
      <x:c r="Y30" s="45"/>
      <x:c r="Z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  <x:c r="S31" s="45"/>
      <x:c r="T31" s="45"/>
      <x:c r="U31" s="45"/>
      <x:c r="V31" s="45"/>
      <x:c r="W31" s="45"/>
      <x:c r="X31" s="45"/>
      <x:c r="Y31" s="45"/>
      <x:c r="Z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  <x:c r="S32" s="45"/>
      <x:c r="T32" s="45"/>
      <x:c r="U32" s="45"/>
      <x:c r="V32" s="45"/>
      <x:c r="W32" s="45"/>
      <x:c r="X32" s="45"/>
      <x:c r="Y32" s="45"/>
      <x:c r="Z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45"/>
      <x:c r="Q33" s="45"/>
      <x:c r="R33" s="45"/>
      <x:c r="S33" s="45"/>
      <x:c r="T33" s="45"/>
      <x:c r="U33" s="45"/>
      <x:c r="V33" s="45"/>
      <x:c r="W33" s="45"/>
      <x:c r="X33" s="45"/>
      <x:c r="Y33" s="45"/>
      <x:c r="Z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45"/>
      <x:c r="Q34" s="45"/>
      <x:c r="R34" s="45"/>
      <x:c r="S34" s="45"/>
      <x:c r="T34" s="45"/>
      <x:c r="U34" s="45"/>
      <x:c r="V34" s="45"/>
      <x:c r="W34" s="45"/>
      <x:c r="X34" s="45"/>
      <x:c r="Y34" s="45"/>
      <x:c r="Z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  <x:c r="R35" s="45"/>
      <x:c r="S35" s="45"/>
      <x:c r="T35" s="45"/>
      <x:c r="U35" s="45"/>
      <x:c r="V35" s="45"/>
      <x:c r="W35" s="45"/>
      <x:c r="X35" s="45"/>
      <x:c r="Y35" s="45"/>
      <x:c r="Z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45"/>
      <x:c r="Q36" s="45"/>
      <x:c r="R36" s="45"/>
      <x:c r="S36" s="45"/>
      <x:c r="T36" s="45"/>
      <x:c r="U36" s="45"/>
      <x:c r="V36" s="45"/>
      <x:c r="W36" s="45"/>
      <x:c r="X36" s="45"/>
      <x:c r="Y36" s="45"/>
      <x:c r="Z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  <x:c r="S37" s="45"/>
      <x:c r="T37" s="45"/>
      <x:c r="U37" s="45"/>
      <x:c r="V37" s="45"/>
      <x:c r="W37" s="45"/>
      <x:c r="X37" s="45"/>
      <x:c r="Y37" s="45"/>
      <x:c r="Z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  <x:c r="S39" s="45"/>
      <x:c r="T39" s="45"/>
      <x:c r="U39" s="45"/>
      <x:c r="V39" s="45"/>
      <x:c r="W39" s="45"/>
      <x:c r="X39" s="45"/>
      <x:c r="Y39" s="45"/>
      <x:c r="Z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  <x:c r="S40" s="45"/>
      <x:c r="T40" s="45"/>
      <x:c r="U40" s="45"/>
      <x:c r="V40" s="45"/>
      <x:c r="W40" s="45"/>
      <x:c r="X40" s="45"/>
      <x:c r="Y40" s="45"/>
      <x:c r="Z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  <x:c r="S42" s="45"/>
      <x:c r="T42" s="45"/>
      <x:c r="U42" s="45"/>
      <x:c r="V42" s="45"/>
      <x:c r="W42" s="45"/>
      <x:c r="X42" s="45"/>
      <x:c r="Y42" s="45"/>
      <x:c r="Z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  <x:c r="S43" s="45"/>
      <x:c r="T43" s="45"/>
      <x:c r="U43" s="45"/>
      <x:c r="V43" s="45"/>
      <x:c r="W43" s="45"/>
      <x:c r="X43" s="45"/>
      <x:c r="Y43" s="45"/>
      <x:c r="Z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  <x:c r="Q44" s="45"/>
      <x:c r="R44" s="45"/>
      <x:c r="S44" s="45"/>
      <x:c r="T44" s="45"/>
      <x:c r="U44" s="45"/>
      <x:c r="V44" s="45"/>
      <x:c r="W44" s="45"/>
      <x:c r="X44" s="45"/>
      <x:c r="Y44" s="45"/>
      <x:c r="Z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45"/>
      <x:c r="Q45" s="45"/>
      <x:c r="R45" s="45"/>
      <x:c r="S45" s="45"/>
      <x:c r="T45" s="45"/>
      <x:c r="U45" s="45"/>
      <x:c r="V45" s="45"/>
      <x:c r="W45" s="45"/>
      <x:c r="X45" s="45"/>
      <x:c r="Y45" s="45"/>
      <x:c r="Z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  <x:c r="Q46" s="45"/>
      <x:c r="R46" s="45"/>
      <x:c r="S46" s="45"/>
      <x:c r="T46" s="45"/>
      <x:c r="U46" s="45"/>
      <x:c r="V46" s="45"/>
      <x:c r="W46" s="45"/>
      <x:c r="X46" s="45"/>
      <x:c r="Y46" s="45"/>
      <x:c r="Z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45"/>
      <x:c r="Q48" s="45"/>
      <x:c r="R48" s="45"/>
      <x:c r="S48" s="45"/>
      <x:c r="T48" s="45"/>
      <x:c r="U48" s="45"/>
      <x:c r="V48" s="45"/>
      <x:c r="W48" s="45"/>
      <x:c r="X48" s="45"/>
      <x:c r="Y48" s="45"/>
      <x:c r="Z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45"/>
      <x:c r="Q49" s="45"/>
      <x:c r="R49" s="45"/>
      <x:c r="S49" s="45"/>
      <x:c r="T49" s="45"/>
      <x:c r="U49" s="45"/>
      <x:c r="V49" s="45"/>
      <x:c r="W49" s="45"/>
      <x:c r="X49" s="45"/>
      <x:c r="Y49" s="45"/>
      <x:c r="Z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45"/>
      <x:c r="Q50" s="45"/>
      <x:c r="R50" s="45"/>
      <x:c r="S50" s="45"/>
      <x:c r="T50" s="45"/>
      <x:c r="U50" s="45"/>
      <x:c r="V50" s="45"/>
      <x:c r="W50" s="45"/>
      <x:c r="X50" s="45"/>
      <x:c r="Y50" s="45"/>
      <x:c r="Z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45"/>
      <x:c r="Q51" s="45"/>
      <x:c r="R51" s="45"/>
      <x:c r="S51" s="45"/>
      <x:c r="T51" s="45"/>
      <x:c r="U51" s="45"/>
      <x:c r="V51" s="45"/>
      <x:c r="W51" s="45"/>
      <x:c r="X51" s="45"/>
      <x:c r="Y51" s="45"/>
      <x:c r="Z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45"/>
      <x:c r="Q52" s="45"/>
      <x:c r="R52" s="45"/>
      <x:c r="S52" s="45"/>
      <x:c r="T52" s="45"/>
      <x:c r="U52" s="45"/>
      <x:c r="V52" s="45"/>
      <x:c r="W52" s="45"/>
      <x:c r="X52" s="45"/>
      <x:c r="Y52" s="45"/>
      <x:c r="Z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45"/>
      <x:c r="Q53" s="45"/>
      <x:c r="R53" s="45"/>
      <x:c r="S53" s="45"/>
      <x:c r="T53" s="45"/>
      <x:c r="U53" s="45"/>
      <x:c r="V53" s="45"/>
      <x:c r="W53" s="45"/>
      <x:c r="X53" s="45"/>
      <x:c r="Y53" s="45"/>
      <x:c r="Z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45"/>
      <x:c r="Q54" s="45"/>
      <x:c r="R54" s="45"/>
      <x:c r="S54" s="45"/>
      <x:c r="T54" s="45"/>
      <x:c r="U54" s="45"/>
      <x:c r="V54" s="45"/>
      <x:c r="W54" s="45"/>
      <x:c r="X54" s="45"/>
      <x:c r="Y54" s="45"/>
      <x:c r="Z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45"/>
      <x:c r="Q55" s="45"/>
      <x:c r="R55" s="45"/>
      <x:c r="S55" s="45"/>
      <x:c r="T55" s="45"/>
      <x:c r="U55" s="45"/>
      <x:c r="V55" s="45"/>
      <x:c r="W55" s="45"/>
      <x:c r="X55" s="45"/>
      <x:c r="Y55" s="45"/>
      <x:c r="Z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45"/>
      <x:c r="Q56" s="45"/>
      <x:c r="R56" s="45"/>
      <x:c r="S56" s="45"/>
      <x:c r="T56" s="45"/>
      <x:c r="U56" s="45"/>
      <x:c r="V56" s="45"/>
      <x:c r="W56" s="45"/>
      <x:c r="X56" s="45"/>
      <x:c r="Y56" s="45"/>
      <x:c r="Z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45"/>
      <x:c r="Q57" s="45"/>
      <x:c r="R57" s="45"/>
      <x:c r="S57" s="45"/>
      <x:c r="T57" s="45"/>
      <x:c r="U57" s="45"/>
      <x:c r="V57" s="45"/>
      <x:c r="W57" s="45"/>
      <x:c r="X57" s="45"/>
      <x:c r="Y57" s="45"/>
      <x:c r="Z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45"/>
      <x:c r="Q58" s="45"/>
      <x:c r="R58" s="45"/>
      <x:c r="S58" s="45"/>
      <x:c r="T58" s="45"/>
      <x:c r="U58" s="45"/>
      <x:c r="V58" s="45"/>
      <x:c r="W58" s="45"/>
      <x:c r="X58" s="45"/>
      <x:c r="Y58" s="45"/>
      <x:c r="Z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45"/>
      <x:c r="Q61" s="45"/>
      <x:c r="R61" s="45"/>
      <x:c r="S61" s="45"/>
      <x:c r="T61" s="45"/>
      <x:c r="U61" s="45"/>
      <x:c r="V61" s="45"/>
      <x:c r="W61" s="45"/>
      <x:c r="X61" s="45"/>
      <x:c r="Y61" s="45"/>
      <x:c r="Z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45"/>
      <x:c r="Q62" s="45"/>
      <x:c r="R62" s="45"/>
      <x:c r="S62" s="45"/>
      <x:c r="T62" s="45"/>
      <x:c r="U62" s="45"/>
      <x:c r="V62" s="45"/>
      <x:c r="W62" s="45"/>
      <x:c r="X62" s="45"/>
      <x:c r="Y62" s="45"/>
      <x:c r="Z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45"/>
      <x:c r="Q63" s="45"/>
      <x:c r="R63" s="45"/>
      <x:c r="S63" s="45"/>
      <x:c r="T63" s="45"/>
      <x:c r="U63" s="45"/>
      <x:c r="V63" s="45"/>
      <x:c r="W63" s="45"/>
      <x:c r="X63" s="45"/>
      <x:c r="Y63" s="45"/>
      <x:c r="Z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45"/>
      <x:c r="Q64" s="45"/>
      <x:c r="R64" s="45"/>
      <x:c r="S64" s="45"/>
      <x:c r="T64" s="45"/>
      <x:c r="U64" s="45"/>
      <x:c r="V64" s="45"/>
      <x:c r="W64" s="45"/>
      <x:c r="X64" s="45"/>
      <x:c r="Y64" s="45"/>
      <x:c r="Z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45"/>
      <x:c r="Q65" s="45"/>
      <x:c r="R65" s="45"/>
      <x:c r="S65" s="45"/>
      <x:c r="T65" s="45"/>
      <x:c r="U65" s="45"/>
      <x:c r="V65" s="45"/>
      <x:c r="W65" s="45"/>
      <x:c r="X65" s="45"/>
      <x:c r="Y65" s="45"/>
      <x:c r="Z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45"/>
      <x:c r="Q68" s="45"/>
      <x:c r="R68" s="45"/>
      <x:c r="S68" s="45"/>
      <x:c r="T68" s="45"/>
      <x:c r="U68" s="45"/>
      <x:c r="V68" s="45"/>
      <x:c r="W68" s="45"/>
      <x:c r="X68" s="45"/>
      <x:c r="Y68" s="45"/>
      <x:c r="Z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45"/>
      <x:c r="Q69" s="45"/>
      <x:c r="R69" s="45"/>
      <x:c r="S69" s="45"/>
      <x:c r="T69" s="45"/>
      <x:c r="U69" s="45"/>
      <x:c r="V69" s="45"/>
      <x:c r="W69" s="45"/>
      <x:c r="X69" s="45"/>
      <x:c r="Y69" s="45"/>
      <x:c r="Z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45"/>
      <x:c r="Q70" s="45"/>
      <x:c r="R70" s="45"/>
      <x:c r="S70" s="45"/>
      <x:c r="T70" s="45"/>
      <x:c r="U70" s="45"/>
      <x:c r="V70" s="45"/>
      <x:c r="W70" s="45"/>
      <x:c r="X70" s="45"/>
      <x:c r="Y70" s="45"/>
      <x:c r="Z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45"/>
      <x:c r="Q72" s="45"/>
      <x:c r="R72" s="45"/>
      <x:c r="S72" s="45"/>
      <x:c r="T72" s="45"/>
      <x:c r="U72" s="45"/>
      <x:c r="V72" s="45"/>
      <x:c r="W72" s="45"/>
      <x:c r="X72" s="45"/>
      <x:c r="Y72" s="45"/>
      <x:c r="Z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45"/>
      <x:c r="Q73" s="45"/>
      <x:c r="R73" s="45"/>
      <x:c r="S73" s="45"/>
      <x:c r="T73" s="45"/>
      <x:c r="U73" s="45"/>
      <x:c r="V73" s="45"/>
      <x:c r="W73" s="45"/>
      <x:c r="X73" s="45"/>
      <x:c r="Y73" s="45"/>
      <x:c r="Z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45"/>
      <x:c r="Q74" s="45"/>
      <x:c r="R74" s="45"/>
      <x:c r="S74" s="45"/>
      <x:c r="T74" s="45"/>
      <x:c r="U74" s="45"/>
      <x:c r="V74" s="45"/>
      <x:c r="W74" s="45"/>
      <x:c r="X74" s="45"/>
      <x:c r="Y74" s="45"/>
      <x:c r="Z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45"/>
      <x:c r="Q75" s="45"/>
      <x:c r="R75" s="45"/>
      <x:c r="S75" s="45"/>
      <x:c r="T75" s="45"/>
      <x:c r="U75" s="45"/>
      <x:c r="V75" s="45"/>
      <x:c r="W75" s="45"/>
      <x:c r="X75" s="45"/>
      <x:c r="Y75" s="45"/>
      <x:c r="Z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45"/>
      <x:c r="Q76" s="45"/>
      <x:c r="R76" s="45"/>
      <x:c r="S76" s="45"/>
      <x:c r="T76" s="45"/>
      <x:c r="U76" s="45"/>
      <x:c r="V76" s="45"/>
      <x:c r="W76" s="45"/>
      <x:c r="X76" s="45"/>
      <x:c r="Y76" s="45"/>
      <x:c r="Z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45"/>
      <x:c r="Q77" s="45"/>
      <x:c r="R77" s="45"/>
      <x:c r="S77" s="45"/>
      <x:c r="T77" s="45"/>
      <x:c r="U77" s="45"/>
      <x:c r="V77" s="45"/>
      <x:c r="W77" s="45"/>
      <x:c r="X77" s="45"/>
      <x:c r="Y77" s="45"/>
      <x:c r="Z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45"/>
      <x:c r="Q78" s="45"/>
      <x:c r="R78" s="45"/>
      <x:c r="S78" s="45"/>
      <x:c r="T78" s="45"/>
      <x:c r="U78" s="45"/>
      <x:c r="V78" s="45"/>
      <x:c r="W78" s="45"/>
      <x:c r="X78" s="45"/>
      <x:c r="Y78" s="45"/>
      <x:c r="Z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45"/>
      <x:c r="Q79" s="45"/>
      <x:c r="R79" s="45"/>
      <x:c r="S79" s="45"/>
      <x:c r="T79" s="45"/>
      <x:c r="U79" s="45"/>
      <x:c r="V79" s="45"/>
      <x:c r="W79" s="45"/>
      <x:c r="X79" s="45"/>
      <x:c r="Y79" s="45"/>
      <x:c r="Z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45"/>
      <x:c r="Q80" s="45"/>
      <x:c r="R80" s="45"/>
      <x:c r="S80" s="45"/>
      <x:c r="T80" s="45"/>
      <x:c r="U80" s="45"/>
      <x:c r="V80" s="45"/>
      <x:c r="W80" s="45"/>
      <x:c r="X80" s="45"/>
      <x:c r="Y80" s="45"/>
      <x:c r="Z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45"/>
      <x:c r="Q81" s="45"/>
      <x:c r="R81" s="45"/>
      <x:c r="S81" s="45"/>
      <x:c r="T81" s="45"/>
      <x:c r="U81" s="45"/>
      <x:c r="V81" s="45"/>
      <x:c r="W81" s="45"/>
      <x:c r="X81" s="45"/>
      <x:c r="Y81" s="45"/>
      <x:c r="Z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45"/>
      <x:c r="Q82" s="45"/>
      <x:c r="R82" s="45"/>
      <x:c r="S82" s="45"/>
      <x:c r="T82" s="45"/>
      <x:c r="U82" s="45"/>
      <x:c r="V82" s="45"/>
      <x:c r="W82" s="45"/>
      <x:c r="X82" s="45"/>
      <x:c r="Y82" s="45"/>
      <x:c r="Z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45"/>
      <x:c r="Q83" s="45"/>
      <x:c r="R83" s="45"/>
      <x:c r="S83" s="45"/>
      <x:c r="T83" s="45"/>
      <x:c r="U83" s="45"/>
      <x:c r="V83" s="45"/>
      <x:c r="W83" s="45"/>
      <x:c r="X83" s="45"/>
      <x:c r="Y83" s="45"/>
      <x:c r="Z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45"/>
      <x:c r="Q84" s="45"/>
      <x:c r="R84" s="45"/>
      <x:c r="S84" s="45"/>
      <x:c r="T84" s="45"/>
      <x:c r="U84" s="45"/>
      <x:c r="V84" s="45"/>
      <x:c r="W84" s="45"/>
      <x:c r="X84" s="45"/>
      <x:c r="Y84" s="45"/>
      <x:c r="Z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45"/>
      <x:c r="Q86" s="45"/>
      <x:c r="R86" s="45"/>
      <x:c r="S86" s="45"/>
      <x:c r="T86" s="45"/>
      <x:c r="U86" s="45"/>
      <x:c r="V86" s="45"/>
      <x:c r="W86" s="45"/>
      <x:c r="X86" s="45"/>
      <x:c r="Y86" s="45"/>
      <x:c r="Z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45"/>
      <x:c r="Q88" s="45"/>
      <x:c r="R88" s="45"/>
      <x:c r="S88" s="45"/>
      <x:c r="T88" s="45"/>
      <x:c r="U88" s="45"/>
      <x:c r="V88" s="45"/>
      <x:c r="W88" s="45"/>
      <x:c r="X88" s="45"/>
      <x:c r="Y88" s="45"/>
      <x:c r="Z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45"/>
      <x:c r="Q89" s="45"/>
      <x:c r="R89" s="45"/>
      <x:c r="S89" s="45"/>
      <x:c r="T89" s="45"/>
      <x:c r="U89" s="45"/>
      <x:c r="V89" s="45"/>
      <x:c r="W89" s="45"/>
      <x:c r="X89" s="45"/>
      <x:c r="Y89" s="45"/>
      <x:c r="Z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45"/>
      <x:c r="Q90" s="45"/>
      <x:c r="R90" s="45"/>
      <x:c r="S90" s="45"/>
      <x:c r="T90" s="45"/>
      <x:c r="U90" s="45"/>
      <x:c r="V90" s="45"/>
      <x:c r="W90" s="45"/>
      <x:c r="X90" s="45"/>
      <x:c r="Y90" s="45"/>
      <x:c r="Z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45"/>
      <x:c r="Q91" s="45"/>
      <x:c r="R91" s="45"/>
      <x:c r="S91" s="45"/>
      <x:c r="T91" s="45"/>
      <x:c r="U91" s="45"/>
      <x:c r="V91" s="45"/>
      <x:c r="W91" s="45"/>
      <x:c r="X91" s="45"/>
      <x:c r="Y91" s="45"/>
      <x:c r="Z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45"/>
      <x:c r="Q92" s="45"/>
      <x:c r="R92" s="45"/>
      <x:c r="S92" s="45"/>
      <x:c r="T92" s="45"/>
      <x:c r="U92" s="45"/>
      <x:c r="V92" s="45"/>
      <x:c r="W92" s="45"/>
      <x:c r="X92" s="45"/>
      <x:c r="Y92" s="45"/>
      <x:c r="Z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45"/>
      <x:c r="Q93" s="45"/>
      <x:c r="R93" s="45"/>
      <x:c r="S93" s="45"/>
      <x:c r="T93" s="45"/>
      <x:c r="U93" s="45"/>
      <x:c r="V93" s="45"/>
      <x:c r="W93" s="45"/>
      <x:c r="X93" s="45"/>
      <x:c r="Y93" s="45"/>
      <x:c r="Z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45"/>
      <x:c r="Q94" s="45"/>
      <x:c r="R94" s="45"/>
      <x:c r="S94" s="45"/>
      <x:c r="T94" s="45"/>
      <x:c r="U94" s="45"/>
      <x:c r="V94" s="45"/>
      <x:c r="W94" s="45"/>
      <x:c r="X94" s="45"/>
      <x:c r="Y94" s="45"/>
      <x:c r="Z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45"/>
      <x:c r="Q95" s="45"/>
      <x:c r="R95" s="45"/>
      <x:c r="S95" s="45"/>
      <x:c r="T95" s="45"/>
      <x:c r="U95" s="45"/>
      <x:c r="V95" s="45"/>
      <x:c r="W95" s="45"/>
      <x:c r="X95" s="45"/>
      <x:c r="Y95" s="45"/>
      <x:c r="Z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45"/>
      <x:c r="Q96" s="45"/>
      <x:c r="R96" s="45"/>
      <x:c r="S96" s="45"/>
      <x:c r="T96" s="45"/>
      <x:c r="U96" s="45"/>
      <x:c r="V96" s="45"/>
      <x:c r="W96" s="45"/>
      <x:c r="X96" s="45"/>
      <x:c r="Y96" s="45"/>
      <x:c r="Z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45"/>
      <x:c r="Q97" s="45"/>
      <x:c r="R97" s="45"/>
      <x:c r="S97" s="45"/>
      <x:c r="T97" s="45"/>
      <x:c r="U97" s="45"/>
      <x:c r="V97" s="45"/>
      <x:c r="W97" s="45"/>
      <x:c r="X97" s="45"/>
      <x:c r="Y97" s="45"/>
      <x:c r="Z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45"/>
      <x:c r="Q99" s="45"/>
      <x:c r="R99" s="45"/>
      <x:c r="S99" s="45"/>
      <x:c r="T99" s="45"/>
      <x:c r="U99" s="45"/>
      <x:c r="V99" s="45"/>
      <x:c r="W99" s="45"/>
      <x:c r="X99" s="45"/>
      <x:c r="Y99" s="45"/>
      <x:c r="Z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45"/>
      <x:c r="Q100" s="45"/>
      <x:c r="R100" s="45"/>
      <x:c r="S100" s="45"/>
      <x:c r="T100" s="45"/>
      <x:c r="U100" s="45"/>
      <x:c r="V100" s="45"/>
      <x:c r="W100" s="45"/>
      <x:c r="X100" s="45"/>
      <x:c r="Y100" s="45"/>
      <x:c r="Z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45"/>
      <x:c r="Q102" s="45"/>
      <x:c r="R102" s="45"/>
      <x:c r="S102" s="45"/>
      <x:c r="T102" s="45"/>
      <x:c r="U102" s="45"/>
      <x:c r="V102" s="45"/>
      <x:c r="W102" s="45"/>
      <x:c r="X102" s="45"/>
      <x:c r="Y102" s="45"/>
      <x:c r="Z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45"/>
      <x:c r="Q103" s="45"/>
      <x:c r="R103" s="45"/>
      <x:c r="S103" s="45"/>
      <x:c r="T103" s="45"/>
      <x:c r="U103" s="45"/>
      <x:c r="V103" s="45"/>
      <x:c r="W103" s="45"/>
      <x:c r="X103" s="45"/>
      <x:c r="Y103" s="45"/>
      <x:c r="Z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45"/>
      <x:c r="Q104" s="45"/>
      <x:c r="R104" s="45"/>
      <x:c r="S104" s="45"/>
      <x:c r="T104" s="45"/>
      <x:c r="U104" s="45"/>
      <x:c r="V104" s="45"/>
      <x:c r="W104" s="45"/>
      <x:c r="X104" s="45"/>
      <x:c r="Y104" s="45"/>
      <x:c r="Z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45"/>
      <x:c r="Q105" s="45"/>
      <x:c r="R105" s="45"/>
      <x:c r="S105" s="45"/>
      <x:c r="T105" s="45"/>
      <x:c r="U105" s="45"/>
      <x:c r="V105" s="45"/>
      <x:c r="W105" s="45"/>
      <x:c r="X105" s="45"/>
      <x:c r="Y105" s="45"/>
      <x:c r="Z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45"/>
      <x:c r="Q106" s="45"/>
      <x:c r="R106" s="45"/>
      <x:c r="S106" s="45"/>
      <x:c r="T106" s="45"/>
      <x:c r="U106" s="45"/>
      <x:c r="V106" s="45"/>
      <x:c r="W106" s="45"/>
      <x:c r="X106" s="45"/>
      <x:c r="Y106" s="45"/>
      <x:c r="Z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45"/>
      <x:c r="Q107" s="45"/>
      <x:c r="R107" s="45"/>
      <x:c r="S107" s="45"/>
      <x:c r="T107" s="45"/>
      <x:c r="U107" s="45"/>
      <x:c r="V107" s="45"/>
      <x:c r="W107" s="45"/>
      <x:c r="X107" s="45"/>
      <x:c r="Y107" s="45"/>
      <x:c r="Z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45"/>
      <x:c r="Q108" s="45"/>
      <x:c r="R108" s="45"/>
      <x:c r="S108" s="45"/>
      <x:c r="T108" s="45"/>
      <x:c r="U108" s="45"/>
      <x:c r="V108" s="45"/>
      <x:c r="W108" s="45"/>
      <x:c r="X108" s="45"/>
      <x:c r="Y108" s="45"/>
      <x:c r="Z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45"/>
      <x:c r="Q109" s="45"/>
      <x:c r="R109" s="45"/>
      <x:c r="S109" s="45"/>
      <x:c r="T109" s="45"/>
      <x:c r="U109" s="45"/>
      <x:c r="V109" s="45"/>
      <x:c r="W109" s="45"/>
      <x:c r="X109" s="45"/>
      <x:c r="Y109" s="45"/>
      <x:c r="Z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45"/>
      <x:c r="Q111" s="45"/>
      <x:c r="R111" s="45"/>
      <x:c r="S111" s="45"/>
      <x:c r="T111" s="45"/>
      <x:c r="U111" s="45"/>
      <x:c r="V111" s="45"/>
      <x:c r="W111" s="45"/>
      <x:c r="X111" s="45"/>
      <x:c r="Y111" s="45"/>
      <x:c r="Z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45"/>
      <x:c r="Q112" s="45"/>
      <x:c r="R112" s="45"/>
      <x:c r="S112" s="45"/>
      <x:c r="T112" s="45"/>
      <x:c r="U112" s="45"/>
      <x:c r="V112" s="45"/>
      <x:c r="W112" s="45"/>
      <x:c r="X112" s="45"/>
      <x:c r="Y112" s="45"/>
      <x:c r="Z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45"/>
      <x:c r="Q113" s="45"/>
      <x:c r="R113" s="45"/>
      <x:c r="S113" s="45"/>
      <x:c r="T113" s="45"/>
      <x:c r="U113" s="45"/>
      <x:c r="V113" s="45"/>
      <x:c r="W113" s="45"/>
      <x:c r="X113" s="45"/>
      <x:c r="Y113" s="45"/>
      <x:c r="Z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45"/>
      <x:c r="Q114" s="45"/>
      <x:c r="R114" s="45"/>
      <x:c r="S114" s="45"/>
      <x:c r="T114" s="45"/>
      <x:c r="U114" s="45"/>
      <x:c r="V114" s="45"/>
      <x:c r="W114" s="45"/>
      <x:c r="X114" s="45"/>
      <x:c r="Y114" s="45"/>
      <x:c r="Z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45"/>
      <x:c r="Q115" s="45"/>
      <x:c r="R115" s="45"/>
      <x:c r="S115" s="45"/>
      <x:c r="T115" s="45"/>
      <x:c r="U115" s="45"/>
      <x:c r="V115" s="45"/>
      <x:c r="W115" s="45"/>
      <x:c r="X115" s="45"/>
      <x:c r="Y115" s="45"/>
      <x:c r="Z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45"/>
      <x:c r="Q117" s="45"/>
      <x:c r="R117" s="45"/>
      <x:c r="S117" s="45"/>
      <x:c r="T117" s="45"/>
      <x:c r="U117" s="45"/>
      <x:c r="V117" s="45"/>
      <x:c r="W117" s="45"/>
      <x:c r="X117" s="45"/>
      <x:c r="Y117" s="45"/>
      <x:c r="Z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45"/>
      <x:c r="Q118" s="45"/>
      <x:c r="R118" s="45"/>
      <x:c r="S118" s="45"/>
      <x:c r="T118" s="45"/>
      <x:c r="U118" s="45"/>
      <x:c r="V118" s="45"/>
      <x:c r="W118" s="45"/>
      <x:c r="X118" s="45"/>
      <x:c r="Y118" s="45"/>
      <x:c r="Z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45"/>
      <x:c r="Q120" s="45"/>
      <x:c r="R120" s="45"/>
      <x:c r="S120" s="45"/>
      <x:c r="T120" s="45"/>
      <x:c r="U120" s="45"/>
      <x:c r="V120" s="45"/>
      <x:c r="W120" s="45"/>
      <x:c r="X120" s="45"/>
      <x:c r="Y120" s="45"/>
      <x:c r="Z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45"/>
      <x:c r="Q121" s="45"/>
      <x:c r="R121" s="45"/>
      <x:c r="S121" s="45"/>
      <x:c r="T121" s="45"/>
      <x:c r="U121" s="45"/>
      <x:c r="V121" s="45"/>
      <x:c r="W121" s="45"/>
      <x:c r="X121" s="45"/>
      <x:c r="Y121" s="45"/>
      <x:c r="Z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45"/>
      <x:c r="Q122" s="45"/>
      <x:c r="R122" s="45"/>
      <x:c r="S122" s="45"/>
      <x:c r="T122" s="45"/>
      <x:c r="U122" s="45"/>
      <x:c r="V122" s="45"/>
      <x:c r="W122" s="45"/>
      <x:c r="X122" s="45"/>
      <x:c r="Y122" s="45"/>
      <x:c r="Z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45"/>
      <x:c r="Q123" s="45"/>
      <x:c r="R123" s="45"/>
      <x:c r="S123" s="45"/>
      <x:c r="T123" s="45"/>
      <x:c r="U123" s="45"/>
      <x:c r="V123" s="45"/>
      <x:c r="W123" s="45"/>
      <x:c r="X123" s="45"/>
      <x:c r="Y123" s="45"/>
      <x:c r="Z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45"/>
      <x:c r="Q125" s="45"/>
      <x:c r="R125" s="45"/>
      <x:c r="S125" s="45"/>
      <x:c r="T125" s="45"/>
      <x:c r="U125" s="45"/>
      <x:c r="V125" s="45"/>
      <x:c r="W125" s="45"/>
      <x:c r="X125" s="45"/>
      <x:c r="Y125" s="45"/>
      <x:c r="Z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45"/>
      <x:c r="Q126" s="45"/>
      <x:c r="R126" s="45"/>
      <x:c r="S126" s="45"/>
      <x:c r="T126" s="45"/>
      <x:c r="U126" s="45"/>
      <x:c r="V126" s="45"/>
      <x:c r="W126" s="45"/>
      <x:c r="X126" s="45"/>
      <x:c r="Y126" s="45"/>
      <x:c r="Z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45"/>
      <x:c r="Q127" s="45"/>
      <x:c r="R127" s="45"/>
      <x:c r="S127" s="45"/>
      <x:c r="T127" s="45"/>
      <x:c r="U127" s="45"/>
      <x:c r="V127" s="45"/>
      <x:c r="W127" s="45"/>
      <x:c r="X127" s="45"/>
      <x:c r="Y127" s="45"/>
      <x:c r="Z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45"/>
      <x:c r="Q128" s="45"/>
      <x:c r="R128" s="45"/>
      <x:c r="S128" s="45"/>
      <x:c r="T128" s="45"/>
      <x:c r="U128" s="45"/>
      <x:c r="V128" s="45"/>
      <x:c r="W128" s="45"/>
      <x:c r="X128" s="45"/>
      <x:c r="Y128" s="45"/>
      <x:c r="Z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45"/>
      <x:c r="Q129" s="45"/>
      <x:c r="R129" s="45"/>
      <x:c r="S129" s="45"/>
      <x:c r="T129" s="45"/>
      <x:c r="U129" s="45"/>
      <x:c r="V129" s="45"/>
      <x:c r="W129" s="45"/>
      <x:c r="X129" s="45"/>
      <x:c r="Y129" s="45"/>
      <x:c r="Z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45"/>
      <x:c r="Q130" s="45"/>
      <x:c r="R130" s="45"/>
      <x:c r="S130" s="45"/>
      <x:c r="T130" s="45"/>
      <x:c r="U130" s="45"/>
      <x:c r="V130" s="45"/>
      <x:c r="W130" s="45"/>
      <x:c r="X130" s="45"/>
      <x:c r="Y130" s="45"/>
      <x:c r="Z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45"/>
      <x:c r="Q131" s="45"/>
      <x:c r="R131" s="45"/>
      <x:c r="S131" s="45"/>
      <x:c r="T131" s="45"/>
      <x:c r="U131" s="45"/>
      <x:c r="V131" s="45"/>
      <x:c r="W131" s="45"/>
      <x:c r="X131" s="45"/>
      <x:c r="Y131" s="45"/>
      <x:c r="Z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45"/>
      <x:c r="Q132" s="45"/>
      <x:c r="R132" s="45"/>
      <x:c r="S132" s="45"/>
      <x:c r="T132" s="45"/>
      <x:c r="U132" s="45"/>
      <x:c r="V132" s="45"/>
      <x:c r="W132" s="45"/>
      <x:c r="X132" s="45"/>
      <x:c r="Y132" s="45"/>
      <x:c r="Z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45"/>
      <x:c r="Q133" s="45"/>
      <x:c r="R133" s="45"/>
      <x:c r="S133" s="45"/>
      <x:c r="T133" s="45"/>
      <x:c r="U133" s="45"/>
      <x:c r="V133" s="45"/>
      <x:c r="W133" s="45"/>
      <x:c r="X133" s="45"/>
      <x:c r="Y133" s="45"/>
      <x:c r="Z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45"/>
      <x:c r="Q134" s="45"/>
      <x:c r="R134" s="45"/>
      <x:c r="S134" s="45"/>
      <x:c r="T134" s="45"/>
      <x:c r="U134" s="45"/>
      <x:c r="V134" s="45"/>
      <x:c r="W134" s="45"/>
      <x:c r="X134" s="45"/>
      <x:c r="Y134" s="45"/>
      <x:c r="Z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45"/>
      <x:c r="Q136" s="45"/>
      <x:c r="R136" s="45"/>
      <x:c r="S136" s="45"/>
      <x:c r="T136" s="45"/>
      <x:c r="U136" s="45"/>
      <x:c r="V136" s="45"/>
      <x:c r="W136" s="45"/>
      <x:c r="X136" s="45"/>
      <x:c r="Y136" s="45"/>
      <x:c r="Z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45"/>
      <x:c r="Q137" s="45"/>
      <x:c r="R137" s="45"/>
      <x:c r="S137" s="45"/>
      <x:c r="T137" s="45"/>
      <x:c r="U137" s="45"/>
      <x:c r="V137" s="45"/>
      <x:c r="W137" s="45"/>
      <x:c r="X137" s="45"/>
      <x:c r="Y137" s="45"/>
      <x:c r="Z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45"/>
      <x:c r="Q138" s="45"/>
      <x:c r="R138" s="45"/>
      <x:c r="S138" s="45"/>
      <x:c r="T138" s="45"/>
      <x:c r="U138" s="45"/>
      <x:c r="V138" s="45"/>
      <x:c r="W138" s="45"/>
      <x:c r="X138" s="45"/>
      <x:c r="Y138" s="45"/>
      <x:c r="Z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45"/>
      <x:c r="Q139" s="45"/>
      <x:c r="R139" s="45"/>
      <x:c r="S139" s="45"/>
      <x:c r="T139" s="45"/>
      <x:c r="U139" s="45"/>
      <x:c r="V139" s="45"/>
      <x:c r="W139" s="45"/>
      <x:c r="X139" s="45"/>
      <x:c r="Y139" s="45"/>
      <x:c r="Z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45"/>
      <x:c r="Q141" s="45"/>
      <x:c r="R141" s="45"/>
      <x:c r="S141" s="45"/>
      <x:c r="T141" s="45"/>
      <x:c r="U141" s="45"/>
      <x:c r="V141" s="45"/>
      <x:c r="W141" s="45"/>
      <x:c r="X141" s="45"/>
      <x:c r="Y141" s="45"/>
      <x:c r="Z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45"/>
      <x:c r="Q142" s="45"/>
      <x:c r="R142" s="45"/>
      <x:c r="S142" s="45"/>
      <x:c r="T142" s="45"/>
      <x:c r="U142" s="45"/>
      <x:c r="V142" s="45"/>
      <x:c r="W142" s="45"/>
      <x:c r="X142" s="45"/>
      <x:c r="Y142" s="45"/>
      <x:c r="Z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45"/>
      <x:c r="Q143" s="45"/>
      <x:c r="R143" s="45"/>
      <x:c r="S143" s="45"/>
      <x:c r="T143" s="45"/>
      <x:c r="U143" s="45"/>
      <x:c r="V143" s="45"/>
      <x:c r="W143" s="45"/>
      <x:c r="X143" s="45"/>
      <x:c r="Y143" s="45"/>
      <x:c r="Z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45"/>
      <x:c r="Q144" s="45"/>
      <x:c r="R144" s="45"/>
      <x:c r="S144" s="45"/>
      <x:c r="T144" s="45"/>
      <x:c r="U144" s="45"/>
      <x:c r="V144" s="45"/>
      <x:c r="W144" s="45"/>
      <x:c r="X144" s="45"/>
      <x:c r="Y144" s="45"/>
      <x:c r="Z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45"/>
      <x:c r="Q145" s="45"/>
      <x:c r="R145" s="45"/>
      <x:c r="S145" s="45"/>
      <x:c r="T145" s="45"/>
      <x:c r="U145" s="45"/>
      <x:c r="V145" s="45"/>
      <x:c r="W145" s="45"/>
      <x:c r="X145" s="45"/>
      <x:c r="Y145" s="45"/>
      <x:c r="Z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45"/>
      <x:c r="Q146" s="45"/>
      <x:c r="R146" s="45"/>
      <x:c r="S146" s="45"/>
      <x:c r="T146" s="45"/>
      <x:c r="U146" s="45"/>
      <x:c r="V146" s="45"/>
      <x:c r="W146" s="45"/>
      <x:c r="X146" s="45"/>
      <x:c r="Y146" s="45"/>
      <x:c r="Z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45"/>
      <x:c r="Q148" s="45"/>
      <x:c r="R148" s="45"/>
      <x:c r="S148" s="45"/>
      <x:c r="T148" s="45"/>
      <x:c r="U148" s="45"/>
      <x:c r="V148" s="45"/>
      <x:c r="W148" s="45"/>
      <x:c r="X148" s="45"/>
      <x:c r="Y148" s="45"/>
      <x:c r="Z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45"/>
      <x:c r="Q149" s="45"/>
      <x:c r="R149" s="45"/>
      <x:c r="S149" s="45"/>
      <x:c r="T149" s="45"/>
      <x:c r="U149" s="45"/>
      <x:c r="V149" s="45"/>
      <x:c r="W149" s="45"/>
      <x:c r="X149" s="45"/>
      <x:c r="Y149" s="45"/>
      <x:c r="Z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45"/>
      <x:c r="Q150" s="45"/>
      <x:c r="R150" s="45"/>
      <x:c r="S150" s="45"/>
      <x:c r="T150" s="45"/>
      <x:c r="U150" s="45"/>
      <x:c r="V150" s="45"/>
      <x:c r="W150" s="45"/>
      <x:c r="X150" s="45"/>
      <x:c r="Y150" s="45"/>
      <x:c r="Z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45"/>
      <x:c r="Q151" s="45"/>
      <x:c r="R151" s="45"/>
      <x:c r="S151" s="45"/>
      <x:c r="T151" s="45"/>
      <x:c r="U151" s="45"/>
      <x:c r="V151" s="45"/>
      <x:c r="W151" s="45"/>
      <x:c r="X151" s="45"/>
      <x:c r="Y151" s="45"/>
      <x:c r="Z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45"/>
      <x:c r="Q152" s="45"/>
      <x:c r="R152" s="45"/>
      <x:c r="S152" s="45"/>
      <x:c r="T152" s="45"/>
      <x:c r="U152" s="45"/>
      <x:c r="V152" s="45"/>
      <x:c r="W152" s="45"/>
      <x:c r="X152" s="45"/>
      <x:c r="Y152" s="45"/>
      <x:c r="Z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45"/>
      <x:c r="Q153" s="45"/>
      <x:c r="R153" s="45"/>
      <x:c r="S153" s="45"/>
      <x:c r="T153" s="45"/>
      <x:c r="U153" s="45"/>
      <x:c r="V153" s="45"/>
      <x:c r="W153" s="45"/>
      <x:c r="X153" s="45"/>
      <x:c r="Y153" s="45"/>
      <x:c r="Z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45"/>
      <x:c r="Q154" s="45"/>
      <x:c r="R154" s="45"/>
      <x:c r="S154" s="45"/>
      <x:c r="T154" s="45"/>
      <x:c r="U154" s="45"/>
      <x:c r="V154" s="45"/>
      <x:c r="W154" s="45"/>
      <x:c r="X154" s="45"/>
      <x:c r="Y154" s="45"/>
      <x:c r="Z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45"/>
      <x:c r="Q155" s="45"/>
      <x:c r="R155" s="45"/>
      <x:c r="S155" s="45"/>
      <x:c r="T155" s="45"/>
      <x:c r="U155" s="45"/>
      <x:c r="V155" s="45"/>
      <x:c r="W155" s="45"/>
      <x:c r="X155" s="45"/>
      <x:c r="Y155" s="45"/>
      <x:c r="Z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45"/>
      <x:c r="Q156" s="45"/>
      <x:c r="R156" s="45"/>
      <x:c r="S156" s="45"/>
      <x:c r="T156" s="45"/>
      <x:c r="U156" s="45"/>
      <x:c r="V156" s="45"/>
      <x:c r="W156" s="45"/>
      <x:c r="X156" s="45"/>
      <x:c r="Y156" s="45"/>
      <x:c r="Z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45"/>
      <x:c r="Q157" s="45"/>
      <x:c r="R157" s="45"/>
      <x:c r="S157" s="45"/>
      <x:c r="T157" s="45"/>
      <x:c r="U157" s="45"/>
      <x:c r="V157" s="45"/>
      <x:c r="W157" s="45"/>
      <x:c r="X157" s="45"/>
      <x:c r="Y157" s="45"/>
      <x:c r="Z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45"/>
      <x:c r="Q158" s="45"/>
      <x:c r="R158" s="45"/>
      <x:c r="S158" s="45"/>
      <x:c r="T158" s="45"/>
      <x:c r="U158" s="45"/>
      <x:c r="V158" s="45"/>
      <x:c r="W158" s="45"/>
      <x:c r="X158" s="45"/>
      <x:c r="Y158" s="45"/>
      <x:c r="Z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45"/>
      <x:c r="Q159" s="45"/>
      <x:c r="R159" s="45"/>
      <x:c r="S159" s="45"/>
      <x:c r="T159" s="45"/>
      <x:c r="U159" s="45"/>
      <x:c r="V159" s="45"/>
      <x:c r="W159" s="45"/>
      <x:c r="X159" s="45"/>
      <x:c r="Y159" s="45"/>
      <x:c r="Z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45"/>
      <x:c r="Q161" s="45"/>
      <x:c r="R161" s="45"/>
      <x:c r="S161" s="45"/>
      <x:c r="T161" s="45"/>
      <x:c r="U161" s="45"/>
      <x:c r="V161" s="45"/>
      <x:c r="W161" s="45"/>
      <x:c r="X161" s="45"/>
      <x:c r="Y161" s="45"/>
      <x:c r="Z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45"/>
      <x:c r="Q162" s="45"/>
      <x:c r="R162" s="45"/>
      <x:c r="S162" s="45"/>
      <x:c r="T162" s="45"/>
      <x:c r="U162" s="45"/>
      <x:c r="V162" s="45"/>
      <x:c r="W162" s="45"/>
      <x:c r="X162" s="45"/>
      <x:c r="Y162" s="45"/>
      <x:c r="Z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45"/>
      <x:c r="Q163" s="45"/>
      <x:c r="R163" s="45"/>
      <x:c r="S163" s="45"/>
      <x:c r="T163" s="45"/>
      <x:c r="U163" s="45"/>
      <x:c r="V163" s="45"/>
      <x:c r="W163" s="45"/>
      <x:c r="X163" s="45"/>
      <x:c r="Y163" s="45"/>
      <x:c r="Z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45"/>
      <x:c r="Q164" s="45"/>
      <x:c r="R164" s="45"/>
      <x:c r="S164" s="45"/>
      <x:c r="T164" s="45"/>
      <x:c r="U164" s="45"/>
      <x:c r="V164" s="45"/>
      <x:c r="W164" s="45"/>
      <x:c r="X164" s="45"/>
      <x:c r="Y164" s="45"/>
      <x:c r="Z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45"/>
      <x:c r="Q165" s="45"/>
      <x:c r="R165" s="45"/>
      <x:c r="S165" s="45"/>
      <x:c r="T165" s="45"/>
      <x:c r="U165" s="45"/>
      <x:c r="V165" s="45"/>
      <x:c r="W165" s="45"/>
      <x:c r="X165" s="45"/>
      <x:c r="Y165" s="45"/>
      <x:c r="Z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45"/>
      <x:c r="Q166" s="45"/>
      <x:c r="R166" s="45"/>
      <x:c r="S166" s="45"/>
      <x:c r="T166" s="45"/>
      <x:c r="U166" s="45"/>
      <x:c r="V166" s="45"/>
      <x:c r="W166" s="45"/>
      <x:c r="X166" s="45"/>
      <x:c r="Y166" s="45"/>
      <x:c r="Z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45"/>
      <x:c r="Q167" s="45"/>
      <x:c r="R167" s="45"/>
      <x:c r="S167" s="45"/>
      <x:c r="T167" s="45"/>
      <x:c r="U167" s="45"/>
      <x:c r="V167" s="45"/>
      <x:c r="W167" s="45"/>
      <x:c r="X167" s="45"/>
      <x:c r="Y167" s="45"/>
      <x:c r="Z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45"/>
      <x:c r="Q168" s="45"/>
      <x:c r="R168" s="45"/>
      <x:c r="S168" s="45"/>
      <x:c r="T168" s="45"/>
      <x:c r="U168" s="45"/>
      <x:c r="V168" s="45"/>
      <x:c r="W168" s="45"/>
      <x:c r="X168" s="45"/>
      <x:c r="Y168" s="45"/>
      <x:c r="Z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45"/>
      <x:c r="Q169" s="45"/>
      <x:c r="R169" s="45"/>
      <x:c r="S169" s="45"/>
      <x:c r="T169" s="45"/>
      <x:c r="U169" s="45"/>
      <x:c r="V169" s="45"/>
      <x:c r="W169" s="45"/>
      <x:c r="X169" s="45"/>
      <x:c r="Y169" s="45"/>
      <x:c r="Z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45"/>
      <x:c r="Q170" s="45"/>
      <x:c r="R170" s="45"/>
      <x:c r="S170" s="45"/>
      <x:c r="T170" s="45"/>
      <x:c r="U170" s="45"/>
      <x:c r="V170" s="45"/>
      <x:c r="W170" s="45"/>
      <x:c r="X170" s="45"/>
      <x:c r="Y170" s="45"/>
      <x:c r="Z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45"/>
      <x:c r="Q171" s="45"/>
      <x:c r="R171" s="45"/>
      <x:c r="S171" s="45"/>
      <x:c r="T171" s="45"/>
      <x:c r="U171" s="45"/>
      <x:c r="V171" s="45"/>
      <x:c r="W171" s="45"/>
      <x:c r="X171" s="45"/>
      <x:c r="Y171" s="45"/>
      <x:c r="Z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45"/>
      <x:c r="Q172" s="45"/>
      <x:c r="R172" s="45"/>
      <x:c r="S172" s="45"/>
      <x:c r="T172" s="45"/>
      <x:c r="U172" s="45"/>
      <x:c r="V172" s="45"/>
      <x:c r="W172" s="45"/>
      <x:c r="X172" s="45"/>
      <x:c r="Y172" s="45"/>
      <x:c r="Z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45"/>
      <x:c r="Q174" s="45"/>
      <x:c r="R174" s="45"/>
      <x:c r="S174" s="45"/>
      <x:c r="T174" s="45"/>
      <x:c r="U174" s="45"/>
      <x:c r="V174" s="45"/>
      <x:c r="W174" s="45"/>
      <x:c r="X174" s="45"/>
      <x:c r="Y174" s="45"/>
      <x:c r="Z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45"/>
      <x:c r="Q176" s="45"/>
      <x:c r="R176" s="45"/>
      <x:c r="S176" s="45"/>
      <x:c r="T176" s="45"/>
      <x:c r="U176" s="45"/>
      <x:c r="V176" s="45"/>
      <x:c r="W176" s="45"/>
      <x:c r="X176" s="45"/>
      <x:c r="Y176" s="45"/>
      <x:c r="Z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45"/>
      <x:c r="Q177" s="45"/>
      <x:c r="R177" s="45"/>
      <x:c r="S177" s="45"/>
      <x:c r="T177" s="45"/>
      <x:c r="U177" s="45"/>
      <x:c r="V177" s="45"/>
      <x:c r="W177" s="45"/>
      <x:c r="X177" s="45"/>
      <x:c r="Y177" s="45"/>
      <x:c r="Z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45"/>
      <x:c r="Q178" s="45"/>
      <x:c r="R178" s="45"/>
      <x:c r="S178" s="45"/>
      <x:c r="T178" s="45"/>
      <x:c r="U178" s="45"/>
      <x:c r="V178" s="45"/>
      <x:c r="W178" s="45"/>
      <x:c r="X178" s="45"/>
      <x:c r="Y178" s="45"/>
      <x:c r="Z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45"/>
      <x:c r="Q179" s="45"/>
      <x:c r="R179" s="45"/>
      <x:c r="S179" s="45"/>
      <x:c r="T179" s="45"/>
      <x:c r="U179" s="45"/>
      <x:c r="V179" s="45"/>
      <x:c r="W179" s="45"/>
      <x:c r="X179" s="45"/>
      <x:c r="Y179" s="45"/>
      <x:c r="Z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  <x:c r="W181" s="45"/>
      <x:c r="X181" s="45"/>
      <x:c r="Y181" s="45"/>
      <x:c r="Z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45"/>
      <x:c r="Q182" s="45"/>
      <x:c r="R182" s="45"/>
      <x:c r="S182" s="45"/>
      <x:c r="T182" s="45"/>
      <x:c r="U182" s="45"/>
      <x:c r="V182" s="45"/>
      <x:c r="W182" s="45"/>
      <x:c r="X182" s="45"/>
      <x:c r="Y182" s="45"/>
      <x:c r="Z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45"/>
      <x:c r="Q183" s="45"/>
      <x:c r="R183" s="45"/>
      <x:c r="S183" s="45"/>
      <x:c r="T183" s="45"/>
      <x:c r="U183" s="45"/>
      <x:c r="V183" s="45"/>
      <x:c r="W183" s="45"/>
      <x:c r="X183" s="45"/>
      <x:c r="Y183" s="45"/>
      <x:c r="Z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45"/>
      <x:c r="Q184" s="45"/>
      <x:c r="R184" s="45"/>
      <x:c r="S184" s="45"/>
      <x:c r="T184" s="45"/>
      <x:c r="U184" s="45"/>
      <x:c r="V184" s="45"/>
      <x:c r="W184" s="45"/>
      <x:c r="X184" s="45"/>
      <x:c r="Y184" s="45"/>
      <x:c r="Z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45"/>
      <x:c r="Q186" s="45"/>
      <x:c r="R186" s="45"/>
      <x:c r="S186" s="45"/>
      <x:c r="T186" s="45"/>
      <x:c r="U186" s="45"/>
      <x:c r="V186" s="45"/>
      <x:c r="W186" s="45"/>
      <x:c r="X186" s="45"/>
      <x:c r="Y186" s="45"/>
      <x:c r="Z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45"/>
      <x:c r="Q187" s="45"/>
      <x:c r="R187" s="45"/>
      <x:c r="S187" s="45"/>
      <x:c r="T187" s="45"/>
      <x:c r="U187" s="45"/>
      <x:c r="V187" s="45"/>
      <x:c r="W187" s="45"/>
      <x:c r="X187" s="45"/>
      <x:c r="Y187" s="45"/>
      <x:c r="Z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45"/>
      <x:c r="Q188" s="45"/>
      <x:c r="R188" s="45"/>
      <x:c r="S188" s="45"/>
      <x:c r="T188" s="45"/>
      <x:c r="U188" s="45"/>
      <x:c r="V188" s="45"/>
      <x:c r="W188" s="45"/>
      <x:c r="X188" s="45"/>
      <x:c r="Y188" s="45"/>
      <x:c r="Z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45"/>
      <x:c r="Q189" s="45"/>
      <x:c r="R189" s="45"/>
      <x:c r="S189" s="45"/>
      <x:c r="T189" s="45"/>
      <x:c r="U189" s="45"/>
      <x:c r="V189" s="45"/>
      <x:c r="W189" s="45"/>
      <x:c r="X189" s="45"/>
      <x:c r="Y189" s="45"/>
      <x:c r="Z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45"/>
      <x:c r="Q190" s="45"/>
      <x:c r="R190" s="45"/>
      <x:c r="S190" s="45"/>
      <x:c r="T190" s="45"/>
      <x:c r="U190" s="45"/>
      <x:c r="V190" s="45"/>
      <x:c r="W190" s="45"/>
      <x:c r="X190" s="45"/>
      <x:c r="Y190" s="45"/>
      <x:c r="Z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45"/>
      <x:c r="Q191" s="45"/>
      <x:c r="R191" s="45"/>
      <x:c r="S191" s="45"/>
      <x:c r="T191" s="45"/>
      <x:c r="U191" s="45"/>
      <x:c r="V191" s="45"/>
      <x:c r="W191" s="45"/>
      <x:c r="X191" s="45"/>
      <x:c r="Y191" s="45"/>
      <x:c r="Z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45"/>
      <x:c r="Q192" s="45"/>
      <x:c r="R192" s="45"/>
      <x:c r="S192" s="45"/>
      <x:c r="T192" s="45"/>
      <x:c r="U192" s="45"/>
      <x:c r="V192" s="45"/>
      <x:c r="W192" s="45"/>
      <x:c r="X192" s="45"/>
      <x:c r="Y192" s="45"/>
      <x:c r="Z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45"/>
      <x:c r="Q193" s="45"/>
      <x:c r="R193" s="45"/>
      <x:c r="S193" s="45"/>
      <x:c r="T193" s="45"/>
      <x:c r="U193" s="45"/>
      <x:c r="V193" s="45"/>
      <x:c r="W193" s="45"/>
      <x:c r="X193" s="45"/>
      <x:c r="Y193" s="45"/>
      <x:c r="Z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45"/>
      <x:c r="Q194" s="45"/>
      <x:c r="R194" s="45"/>
      <x:c r="S194" s="45"/>
      <x:c r="T194" s="45"/>
      <x:c r="U194" s="45"/>
      <x:c r="V194" s="45"/>
      <x:c r="W194" s="45"/>
      <x:c r="X194" s="45"/>
      <x:c r="Y194" s="45"/>
      <x:c r="Z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45"/>
      <x:c r="Q195" s="45"/>
      <x:c r="R195" s="45"/>
      <x:c r="S195" s="45"/>
      <x:c r="T195" s="45"/>
      <x:c r="U195" s="45"/>
      <x:c r="V195" s="45"/>
      <x:c r="W195" s="45"/>
      <x:c r="X195" s="45"/>
      <x:c r="Y195" s="45"/>
      <x:c r="Z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45"/>
      <x:c r="Q197" s="45"/>
      <x:c r="R197" s="45"/>
      <x:c r="S197" s="45"/>
      <x:c r="T197" s="45"/>
      <x:c r="U197" s="45"/>
      <x:c r="V197" s="45"/>
      <x:c r="W197" s="45"/>
      <x:c r="X197" s="45"/>
      <x:c r="Y197" s="45"/>
      <x:c r="Z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45"/>
      <x:c r="Q198" s="45"/>
      <x:c r="R198" s="45"/>
      <x:c r="S198" s="45"/>
      <x:c r="T198" s="45"/>
      <x:c r="U198" s="45"/>
      <x:c r="V198" s="45"/>
      <x:c r="W198" s="45"/>
      <x:c r="X198" s="45"/>
      <x:c r="Y198" s="45"/>
      <x:c r="Z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45"/>
      <x:c r="Q199" s="45"/>
      <x:c r="R199" s="45"/>
      <x:c r="S199" s="45"/>
      <x:c r="T199" s="45"/>
      <x:c r="U199" s="45"/>
      <x:c r="V199" s="45"/>
      <x:c r="W199" s="45"/>
      <x:c r="X199" s="45"/>
      <x:c r="Y199" s="45"/>
      <x:c r="Z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45"/>
      <x:c r="Q200" s="45"/>
      <x:c r="R200" s="45"/>
      <x:c r="S200" s="45"/>
      <x:c r="T200" s="45"/>
      <x:c r="U200" s="45"/>
      <x:c r="V200" s="45"/>
      <x:c r="W200" s="45"/>
      <x:c r="X200" s="45"/>
      <x:c r="Y200" s="45"/>
      <x:c r="Z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45"/>
      <x:c r="Q201" s="45"/>
      <x:c r="R201" s="45"/>
      <x:c r="S201" s="45"/>
      <x:c r="T201" s="45"/>
      <x:c r="U201" s="45"/>
      <x:c r="V201" s="45"/>
      <x:c r="W201" s="45"/>
      <x:c r="X201" s="45"/>
      <x:c r="Y201" s="45"/>
      <x:c r="Z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45"/>
      <x:c r="Q202" s="45"/>
      <x:c r="R202" s="45"/>
      <x:c r="S202" s="45"/>
      <x:c r="T202" s="45"/>
      <x:c r="U202" s="45"/>
      <x:c r="V202" s="45"/>
      <x:c r="W202" s="45"/>
      <x:c r="X202" s="45"/>
      <x:c r="Y202" s="45"/>
      <x:c r="Z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45"/>
      <x:c r="Q203" s="45"/>
      <x:c r="R203" s="45"/>
      <x:c r="S203" s="45"/>
      <x:c r="T203" s="45"/>
      <x:c r="U203" s="45"/>
      <x:c r="V203" s="45"/>
      <x:c r="W203" s="45"/>
      <x:c r="X203" s="45"/>
      <x:c r="Y203" s="45"/>
      <x:c r="Z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45"/>
      <x:c r="Q204" s="45"/>
      <x:c r="R204" s="45"/>
      <x:c r="S204" s="45"/>
      <x:c r="T204" s="45"/>
      <x:c r="U204" s="45"/>
      <x:c r="V204" s="45"/>
      <x:c r="W204" s="45"/>
      <x:c r="X204" s="45"/>
      <x:c r="Y204" s="45"/>
      <x:c r="Z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45"/>
      <x:c r="Q205" s="45"/>
      <x:c r="R205" s="45"/>
      <x:c r="S205" s="45"/>
      <x:c r="T205" s="45"/>
      <x:c r="U205" s="45"/>
      <x:c r="V205" s="45"/>
      <x:c r="W205" s="45"/>
      <x:c r="X205" s="45"/>
      <x:c r="Y205" s="45"/>
      <x:c r="Z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45"/>
      <x:c r="Q206" s="45"/>
      <x:c r="R206" s="45"/>
      <x:c r="S206" s="45"/>
      <x:c r="T206" s="45"/>
      <x:c r="U206" s="45"/>
      <x:c r="V206" s="45"/>
      <x:c r="W206" s="45"/>
      <x:c r="X206" s="45"/>
      <x:c r="Y206" s="45"/>
      <x:c r="Z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45"/>
      <x:c r="Q208" s="45"/>
      <x:c r="R208" s="45"/>
      <x:c r="S208" s="45"/>
      <x:c r="T208" s="45"/>
      <x:c r="U208" s="45"/>
      <x:c r="V208" s="45"/>
      <x:c r="W208" s="45"/>
      <x:c r="X208" s="45"/>
      <x:c r="Y208" s="45"/>
      <x:c r="Z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45"/>
      <x:c r="Q210" s="45"/>
      <x:c r="R210" s="45"/>
      <x:c r="S210" s="45"/>
      <x:c r="T210" s="45"/>
      <x:c r="U210" s="45"/>
      <x:c r="V210" s="45"/>
      <x:c r="W210" s="45"/>
      <x:c r="X210" s="45"/>
      <x:c r="Y210" s="45"/>
      <x:c r="Z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45"/>
      <x:c r="Q211" s="45"/>
      <x:c r="R211" s="45"/>
      <x:c r="S211" s="45"/>
      <x:c r="T211" s="45"/>
      <x:c r="U211" s="45"/>
      <x:c r="V211" s="45"/>
      <x:c r="W211" s="45"/>
      <x:c r="X211" s="45"/>
      <x:c r="Y211" s="45"/>
      <x:c r="Z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45"/>
      <x:c r="Q212" s="45"/>
      <x:c r="R212" s="45"/>
      <x:c r="S212" s="45"/>
      <x:c r="T212" s="45"/>
      <x:c r="U212" s="45"/>
      <x:c r="V212" s="45"/>
      <x:c r="W212" s="45"/>
      <x:c r="X212" s="45"/>
      <x:c r="Y212" s="45"/>
      <x:c r="Z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45"/>
      <x:c r="Q214" s="45"/>
      <x:c r="R214" s="45"/>
      <x:c r="S214" s="45"/>
      <x:c r="T214" s="45"/>
      <x:c r="U214" s="45"/>
      <x:c r="V214" s="45"/>
      <x:c r="W214" s="45"/>
      <x:c r="X214" s="45"/>
      <x:c r="Y214" s="45"/>
      <x:c r="Z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45"/>
      <x:c r="Q215" s="45"/>
      <x:c r="R215" s="45"/>
      <x:c r="S215" s="45"/>
      <x:c r="T215" s="45"/>
      <x:c r="U215" s="45"/>
      <x:c r="V215" s="45"/>
      <x:c r="W215" s="45"/>
      <x:c r="X215" s="45"/>
      <x:c r="Y215" s="45"/>
      <x:c r="Z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45"/>
      <x:c r="Q216" s="45"/>
      <x:c r="R216" s="45"/>
      <x:c r="S216" s="45"/>
      <x:c r="T216" s="45"/>
      <x:c r="U216" s="45"/>
      <x:c r="V216" s="45"/>
      <x:c r="W216" s="45"/>
      <x:c r="X216" s="45"/>
      <x:c r="Y216" s="45"/>
      <x:c r="Z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45"/>
      <x:c r="Q217" s="45"/>
      <x:c r="R217" s="45"/>
      <x:c r="S217" s="45"/>
      <x:c r="T217" s="45"/>
      <x:c r="U217" s="45"/>
      <x:c r="V217" s="45"/>
      <x:c r="W217" s="45"/>
      <x:c r="X217" s="45"/>
      <x:c r="Y217" s="45"/>
      <x:c r="Z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45"/>
      <x:c r="Q218" s="45"/>
      <x:c r="R218" s="45"/>
      <x:c r="S218" s="45"/>
      <x:c r="T218" s="45"/>
      <x:c r="U218" s="45"/>
      <x:c r="V218" s="45"/>
      <x:c r="W218" s="45"/>
      <x:c r="X218" s="45"/>
      <x:c r="Y218" s="45"/>
      <x:c r="Z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45"/>
      <x:c r="Q220" s="45"/>
      <x:c r="R220" s="45"/>
      <x:c r="S220" s="45"/>
      <x:c r="T220" s="45"/>
      <x:c r="U220" s="45"/>
      <x:c r="V220" s="45"/>
      <x:c r="W220" s="45"/>
      <x:c r="X220" s="45"/>
      <x:c r="Y220" s="45"/>
      <x:c r="Z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45"/>
      <x:c r="Q221" s="45"/>
      <x:c r="R221" s="45"/>
      <x:c r="S221" s="45"/>
      <x:c r="T221" s="45"/>
      <x:c r="U221" s="45"/>
      <x:c r="V221" s="45"/>
      <x:c r="W221" s="45"/>
      <x:c r="X221" s="45"/>
      <x:c r="Y221" s="45"/>
      <x:c r="Z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45"/>
      <x:c r="Q222" s="45"/>
      <x:c r="R222" s="45"/>
      <x:c r="S222" s="45"/>
      <x:c r="T222" s="45"/>
      <x:c r="U222" s="45"/>
      <x:c r="V222" s="45"/>
      <x:c r="W222" s="45"/>
      <x:c r="X222" s="45"/>
      <x:c r="Y222" s="45"/>
      <x:c r="Z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45"/>
      <x:c r="Q223" s="45"/>
      <x:c r="R223" s="45"/>
      <x:c r="S223" s="45"/>
      <x:c r="T223" s="45"/>
      <x:c r="U223" s="45"/>
      <x:c r="V223" s="45"/>
      <x:c r="W223" s="45"/>
      <x:c r="X223" s="45"/>
      <x:c r="Y223" s="45"/>
      <x:c r="Z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45"/>
      <x:c r="Q224" s="45"/>
      <x:c r="R224" s="45"/>
      <x:c r="S224" s="45"/>
      <x:c r="T224" s="45"/>
      <x:c r="U224" s="45"/>
      <x:c r="V224" s="45"/>
      <x:c r="W224" s="45"/>
      <x:c r="X224" s="45"/>
      <x:c r="Y224" s="45"/>
      <x:c r="Z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45"/>
      <x:c r="Q225" s="45"/>
      <x:c r="R225" s="45"/>
      <x:c r="S225" s="45"/>
      <x:c r="T225" s="45"/>
      <x:c r="U225" s="45"/>
      <x:c r="V225" s="45"/>
      <x:c r="W225" s="45"/>
      <x:c r="X225" s="45"/>
      <x:c r="Y225" s="45"/>
      <x:c r="Z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45"/>
      <x:c r="Q226" s="45"/>
      <x:c r="R226" s="45"/>
      <x:c r="S226" s="45"/>
      <x:c r="T226" s="45"/>
      <x:c r="U226" s="45"/>
      <x:c r="V226" s="45"/>
      <x:c r="W226" s="45"/>
      <x:c r="X226" s="45"/>
      <x:c r="Y226" s="45"/>
      <x:c r="Z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45"/>
      <x:c r="Q227" s="45"/>
      <x:c r="R227" s="45"/>
      <x:c r="S227" s="45"/>
      <x:c r="T227" s="45"/>
      <x:c r="U227" s="45"/>
      <x:c r="V227" s="45"/>
      <x:c r="W227" s="45"/>
      <x:c r="X227" s="45"/>
      <x:c r="Y227" s="45"/>
      <x:c r="Z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45"/>
      <x:c r="Q228" s="45"/>
      <x:c r="R228" s="45"/>
      <x:c r="S228" s="45"/>
      <x:c r="T228" s="45"/>
      <x:c r="U228" s="45"/>
      <x:c r="V228" s="45"/>
      <x:c r="W228" s="45"/>
      <x:c r="X228" s="45"/>
      <x:c r="Y228" s="45"/>
      <x:c r="Z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45"/>
      <x:c r="Q229" s="45"/>
      <x:c r="R229" s="45"/>
      <x:c r="S229" s="45"/>
      <x:c r="T229" s="45"/>
      <x:c r="U229" s="45"/>
      <x:c r="V229" s="45"/>
      <x:c r="W229" s="45"/>
      <x:c r="X229" s="45"/>
      <x:c r="Y229" s="45"/>
      <x:c r="Z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45"/>
      <x:c r="Q230" s="45"/>
      <x:c r="R230" s="45"/>
      <x:c r="S230" s="45"/>
      <x:c r="T230" s="45"/>
      <x:c r="U230" s="45"/>
      <x:c r="V230" s="45"/>
      <x:c r="W230" s="45"/>
      <x:c r="X230" s="45"/>
      <x:c r="Y230" s="45"/>
      <x:c r="Z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45"/>
      <x:c r="Q232" s="45"/>
      <x:c r="R232" s="45"/>
      <x:c r="S232" s="45"/>
      <x:c r="T232" s="45"/>
      <x:c r="U232" s="45"/>
      <x:c r="V232" s="45"/>
      <x:c r="W232" s="45"/>
      <x:c r="X232" s="45"/>
      <x:c r="Y232" s="45"/>
      <x:c r="Z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45"/>
      <x:c r="Q233" s="45"/>
      <x:c r="R233" s="45"/>
      <x:c r="S233" s="45"/>
      <x:c r="T233" s="45"/>
      <x:c r="U233" s="45"/>
      <x:c r="V233" s="45"/>
      <x:c r="W233" s="45"/>
      <x:c r="X233" s="45"/>
      <x:c r="Y233" s="45"/>
      <x:c r="Z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45"/>
      <x:c r="Q234" s="45"/>
      <x:c r="R234" s="45"/>
      <x:c r="S234" s="45"/>
      <x:c r="T234" s="45"/>
      <x:c r="U234" s="45"/>
      <x:c r="V234" s="45"/>
      <x:c r="W234" s="45"/>
      <x:c r="X234" s="45"/>
      <x:c r="Y234" s="45"/>
      <x:c r="Z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45"/>
      <x:c r="Q235" s="45"/>
      <x:c r="R235" s="45"/>
      <x:c r="S235" s="45"/>
      <x:c r="T235" s="45"/>
      <x:c r="U235" s="45"/>
      <x:c r="V235" s="45"/>
      <x:c r="W235" s="45"/>
      <x:c r="X235" s="45"/>
      <x:c r="Y235" s="45"/>
      <x:c r="Z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45"/>
      <x:c r="Q236" s="45"/>
      <x:c r="R236" s="45"/>
      <x:c r="S236" s="45"/>
      <x:c r="T236" s="45"/>
      <x:c r="U236" s="45"/>
      <x:c r="V236" s="45"/>
      <x:c r="W236" s="45"/>
      <x:c r="X236" s="45"/>
      <x:c r="Y236" s="45"/>
      <x:c r="Z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45"/>
      <x:c r="Q238" s="45"/>
      <x:c r="R238" s="45"/>
      <x:c r="S238" s="45"/>
      <x:c r="T238" s="45"/>
      <x:c r="U238" s="45"/>
      <x:c r="V238" s="45"/>
      <x:c r="W238" s="45"/>
      <x:c r="X238" s="45"/>
      <x:c r="Y238" s="45"/>
      <x:c r="Z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45"/>
      <x:c r="Q239" s="45"/>
      <x:c r="R239" s="45"/>
      <x:c r="S239" s="45"/>
      <x:c r="T239" s="45"/>
      <x:c r="U239" s="45"/>
      <x:c r="V239" s="45"/>
      <x:c r="W239" s="45"/>
      <x:c r="X239" s="45"/>
      <x:c r="Y239" s="45"/>
      <x:c r="Z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45"/>
      <x:c r="Q240" s="45"/>
      <x:c r="R240" s="45"/>
      <x:c r="S240" s="45"/>
      <x:c r="T240" s="45"/>
      <x:c r="U240" s="45"/>
      <x:c r="V240" s="45"/>
      <x:c r="W240" s="45"/>
      <x:c r="X240" s="45"/>
      <x:c r="Y240" s="45"/>
      <x:c r="Z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45"/>
      <x:c r="Q241" s="45"/>
      <x:c r="R241" s="45"/>
      <x:c r="S241" s="45"/>
      <x:c r="T241" s="45"/>
      <x:c r="U241" s="45"/>
      <x:c r="V241" s="45"/>
      <x:c r="W241" s="45"/>
      <x:c r="X241" s="45"/>
      <x:c r="Y241" s="45"/>
      <x:c r="Z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45"/>
      <x:c r="Q242" s="45"/>
      <x:c r="R242" s="45"/>
      <x:c r="S242" s="45"/>
      <x:c r="T242" s="45"/>
      <x:c r="U242" s="45"/>
      <x:c r="V242" s="45"/>
      <x:c r="W242" s="45"/>
      <x:c r="X242" s="45"/>
      <x:c r="Y242" s="45"/>
      <x:c r="Z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45"/>
      <x:c r="Q243" s="45"/>
      <x:c r="R243" s="45"/>
      <x:c r="S243" s="45"/>
      <x:c r="T243" s="45"/>
      <x:c r="U243" s="45"/>
      <x:c r="V243" s="45"/>
      <x:c r="W243" s="45"/>
      <x:c r="X243" s="45"/>
      <x:c r="Y243" s="45"/>
      <x:c r="Z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45"/>
      <x:c r="Q244" s="45"/>
      <x:c r="R244" s="45"/>
      <x:c r="S244" s="45"/>
      <x:c r="T244" s="45"/>
      <x:c r="U244" s="45"/>
      <x:c r="V244" s="45"/>
      <x:c r="W244" s="45"/>
      <x:c r="X244" s="45"/>
      <x:c r="Y244" s="45"/>
      <x:c r="Z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45"/>
      <x:c r="Q245" s="45"/>
      <x:c r="R245" s="45"/>
      <x:c r="S245" s="45"/>
      <x:c r="T245" s="45"/>
      <x:c r="U245" s="45"/>
      <x:c r="V245" s="45"/>
      <x:c r="W245" s="45"/>
      <x:c r="X245" s="45"/>
      <x:c r="Y245" s="45"/>
      <x:c r="Z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45"/>
      <x:c r="Q246" s="45"/>
      <x:c r="R246" s="45"/>
      <x:c r="S246" s="45"/>
      <x:c r="T246" s="45"/>
      <x:c r="U246" s="45"/>
      <x:c r="V246" s="45"/>
      <x:c r="W246" s="45"/>
      <x:c r="X246" s="45"/>
      <x:c r="Y246" s="45"/>
      <x:c r="Z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45"/>
      <x:c r="Q247" s="45"/>
      <x:c r="R247" s="45"/>
      <x:c r="S247" s="45"/>
      <x:c r="T247" s="45"/>
      <x:c r="U247" s="45"/>
      <x:c r="V247" s="45"/>
      <x:c r="W247" s="45"/>
      <x:c r="X247" s="45"/>
      <x:c r="Y247" s="45"/>
      <x:c r="Z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45"/>
      <x:c r="Q248" s="45"/>
      <x:c r="R248" s="45"/>
      <x:c r="S248" s="45"/>
      <x:c r="T248" s="45"/>
      <x:c r="U248" s="45"/>
      <x:c r="V248" s="45"/>
      <x:c r="W248" s="45"/>
      <x:c r="X248" s="45"/>
      <x:c r="Y248" s="45"/>
      <x:c r="Z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45"/>
      <x:c r="Q249" s="45"/>
      <x:c r="R249" s="45"/>
      <x:c r="S249" s="45"/>
      <x:c r="T249" s="45"/>
      <x:c r="U249" s="45"/>
      <x:c r="V249" s="45"/>
      <x:c r="W249" s="45"/>
      <x:c r="X249" s="45"/>
      <x:c r="Y249" s="45"/>
      <x:c r="Z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45"/>
      <x:c r="Q250" s="45"/>
      <x:c r="R250" s="45"/>
      <x:c r="S250" s="45"/>
      <x:c r="T250" s="45"/>
      <x:c r="U250" s="45"/>
      <x:c r="V250" s="45"/>
      <x:c r="W250" s="45"/>
      <x:c r="X250" s="45"/>
      <x:c r="Y250" s="45"/>
      <x:c r="Z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45"/>
      <x:c r="Q251" s="45"/>
      <x:c r="R251" s="45"/>
      <x:c r="S251" s="45"/>
      <x:c r="T251" s="45"/>
      <x:c r="U251" s="45"/>
      <x:c r="V251" s="45"/>
      <x:c r="W251" s="45"/>
      <x:c r="X251" s="45"/>
      <x:c r="Y251" s="45"/>
      <x:c r="Z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45"/>
      <x:c r="Q252" s="45"/>
      <x:c r="R252" s="45"/>
      <x:c r="S252" s="45"/>
      <x:c r="T252" s="45"/>
      <x:c r="U252" s="45"/>
      <x:c r="V252" s="45"/>
      <x:c r="W252" s="45"/>
      <x:c r="X252" s="45"/>
      <x:c r="Y252" s="45"/>
      <x:c r="Z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45"/>
      <x:c r="Q253" s="45"/>
      <x:c r="R253" s="45"/>
      <x:c r="S253" s="45"/>
      <x:c r="T253" s="45"/>
      <x:c r="U253" s="45"/>
      <x:c r="V253" s="45"/>
      <x:c r="W253" s="45"/>
      <x:c r="X253" s="45"/>
      <x:c r="Y253" s="45"/>
      <x:c r="Z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45"/>
      <x:c r="Q255" s="45"/>
      <x:c r="R255" s="45"/>
      <x:c r="S255" s="45"/>
      <x:c r="T255" s="45"/>
      <x:c r="U255" s="45"/>
      <x:c r="V255" s="45"/>
      <x:c r="W255" s="45"/>
      <x:c r="X255" s="45"/>
      <x:c r="Y255" s="45"/>
      <x:c r="Z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45"/>
      <x:c r="Q257" s="45"/>
      <x:c r="R257" s="45"/>
      <x:c r="S257" s="45"/>
      <x:c r="T257" s="45"/>
      <x:c r="U257" s="45"/>
      <x:c r="V257" s="45"/>
      <x:c r="W257" s="45"/>
      <x:c r="X257" s="45"/>
      <x:c r="Y257" s="45"/>
      <x:c r="Z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45"/>
      <x:c r="Q258" s="45"/>
      <x:c r="R258" s="45"/>
      <x:c r="S258" s="45"/>
      <x:c r="T258" s="45"/>
      <x:c r="U258" s="45"/>
      <x:c r="V258" s="45"/>
      <x:c r="W258" s="45"/>
      <x:c r="X258" s="45"/>
      <x:c r="Y258" s="45"/>
      <x:c r="Z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45"/>
      <x:c r="Q259" s="45"/>
      <x:c r="R259" s="45"/>
      <x:c r="S259" s="45"/>
      <x:c r="T259" s="45"/>
      <x:c r="U259" s="45"/>
      <x:c r="V259" s="45"/>
      <x:c r="W259" s="45"/>
      <x:c r="X259" s="45"/>
      <x:c r="Y259" s="45"/>
      <x:c r="Z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45"/>
      <x:c r="Q260" s="45"/>
      <x:c r="R260" s="45"/>
      <x:c r="S260" s="45"/>
      <x:c r="T260" s="45"/>
      <x:c r="U260" s="45"/>
      <x:c r="V260" s="45"/>
      <x:c r="W260" s="45"/>
      <x:c r="X260" s="45"/>
      <x:c r="Y260" s="45"/>
      <x:c r="Z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45"/>
      <x:c r="Q261" s="45"/>
      <x:c r="R261" s="45"/>
      <x:c r="S261" s="45"/>
      <x:c r="T261" s="45"/>
      <x:c r="U261" s="45"/>
      <x:c r="V261" s="45"/>
      <x:c r="W261" s="45"/>
      <x:c r="X261" s="45"/>
      <x:c r="Y261" s="45"/>
      <x:c r="Z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45"/>
      <x:c r="Q262" s="45"/>
      <x:c r="R262" s="45"/>
      <x:c r="S262" s="45"/>
      <x:c r="T262" s="45"/>
      <x:c r="U262" s="45"/>
      <x:c r="V262" s="45"/>
      <x:c r="W262" s="45"/>
      <x:c r="X262" s="45"/>
      <x:c r="Y262" s="45"/>
      <x:c r="Z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45"/>
      <x:c r="Q263" s="45"/>
      <x:c r="R263" s="45"/>
      <x:c r="S263" s="45"/>
      <x:c r="T263" s="45"/>
      <x:c r="U263" s="45"/>
      <x:c r="V263" s="45"/>
      <x:c r="W263" s="45"/>
      <x:c r="X263" s="45"/>
      <x:c r="Y263" s="45"/>
      <x:c r="Z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45"/>
      <x:c r="Q265" s="45"/>
      <x:c r="R265" s="45"/>
      <x:c r="S265" s="45"/>
      <x:c r="T265" s="45"/>
      <x:c r="U265" s="45"/>
      <x:c r="V265" s="45"/>
      <x:c r="W265" s="45"/>
      <x:c r="X265" s="45"/>
      <x:c r="Y265" s="45"/>
      <x:c r="Z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45"/>
      <x:c r="Q266" s="45"/>
      <x:c r="R266" s="45"/>
      <x:c r="S266" s="45"/>
      <x:c r="T266" s="45"/>
      <x:c r="U266" s="45"/>
      <x:c r="V266" s="45"/>
      <x:c r="W266" s="45"/>
      <x:c r="X266" s="45"/>
      <x:c r="Y266" s="45"/>
      <x:c r="Z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45"/>
      <x:c r="Q267" s="45"/>
      <x:c r="R267" s="45"/>
      <x:c r="S267" s="45"/>
      <x:c r="T267" s="45"/>
      <x:c r="U267" s="45"/>
      <x:c r="V267" s="45"/>
      <x:c r="W267" s="45"/>
      <x:c r="X267" s="45"/>
      <x:c r="Y267" s="45"/>
      <x:c r="Z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45"/>
      <x:c r="Q268" s="45"/>
      <x:c r="R268" s="45"/>
      <x:c r="S268" s="45"/>
      <x:c r="T268" s="45"/>
      <x:c r="U268" s="45"/>
      <x:c r="V268" s="45"/>
      <x:c r="W268" s="45"/>
      <x:c r="X268" s="45"/>
      <x:c r="Y268" s="45"/>
      <x:c r="Z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45"/>
      <x:c r="Q269" s="45"/>
      <x:c r="R269" s="45"/>
      <x:c r="S269" s="45"/>
      <x:c r="T269" s="45"/>
      <x:c r="U269" s="45"/>
      <x:c r="V269" s="45"/>
      <x:c r="W269" s="45"/>
      <x:c r="X269" s="45"/>
      <x:c r="Y269" s="45"/>
      <x:c r="Z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45"/>
      <x:c r="Q270" s="45"/>
      <x:c r="R270" s="45"/>
      <x:c r="S270" s="45"/>
      <x:c r="T270" s="45"/>
      <x:c r="U270" s="45"/>
      <x:c r="V270" s="45"/>
      <x:c r="W270" s="45"/>
      <x:c r="X270" s="45"/>
      <x:c r="Y270" s="45"/>
      <x:c r="Z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45"/>
      <x:c r="Q271" s="45"/>
      <x:c r="R271" s="45"/>
      <x:c r="S271" s="45"/>
      <x:c r="T271" s="45"/>
      <x:c r="U271" s="45"/>
      <x:c r="V271" s="45"/>
      <x:c r="W271" s="45"/>
      <x:c r="X271" s="45"/>
      <x:c r="Y271" s="45"/>
      <x:c r="Z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45"/>
      <x:c r="Q272" s="45"/>
      <x:c r="R272" s="45"/>
      <x:c r="S272" s="45"/>
      <x:c r="T272" s="45"/>
      <x:c r="U272" s="45"/>
      <x:c r="V272" s="45"/>
      <x:c r="W272" s="45"/>
      <x:c r="X272" s="45"/>
      <x:c r="Y272" s="45"/>
      <x:c r="Z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45"/>
      <x:c r="Q273" s="45"/>
      <x:c r="R273" s="45"/>
      <x:c r="S273" s="45"/>
      <x:c r="T273" s="45"/>
      <x:c r="U273" s="45"/>
      <x:c r="V273" s="45"/>
      <x:c r="W273" s="45"/>
      <x:c r="X273" s="45"/>
      <x:c r="Y273" s="45"/>
      <x:c r="Z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45"/>
      <x:c r="Q274" s="45"/>
      <x:c r="R274" s="45"/>
      <x:c r="S274" s="45"/>
      <x:c r="T274" s="45"/>
      <x:c r="U274" s="45"/>
      <x:c r="V274" s="45"/>
      <x:c r="W274" s="45"/>
      <x:c r="X274" s="45"/>
      <x:c r="Y274" s="45"/>
      <x:c r="Z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45"/>
      <x:c r="Q275" s="45"/>
      <x:c r="R275" s="45"/>
      <x:c r="S275" s="45"/>
      <x:c r="T275" s="45"/>
      <x:c r="U275" s="45"/>
      <x:c r="V275" s="45"/>
      <x:c r="W275" s="45"/>
      <x:c r="X275" s="45"/>
      <x:c r="Y275" s="45"/>
      <x:c r="Z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45"/>
      <x:c r="Q276" s="45"/>
      <x:c r="R276" s="45"/>
      <x:c r="S276" s="45"/>
      <x:c r="T276" s="45"/>
      <x:c r="U276" s="45"/>
      <x:c r="V276" s="45"/>
      <x:c r="W276" s="45"/>
      <x:c r="X276" s="45"/>
      <x:c r="Y276" s="45"/>
      <x:c r="Z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45"/>
      <x:c r="Q279" s="45"/>
      <x:c r="R279" s="45"/>
      <x:c r="S279" s="45"/>
      <x:c r="T279" s="45"/>
      <x:c r="U279" s="45"/>
      <x:c r="V279" s="45"/>
      <x:c r="W279" s="45"/>
      <x:c r="X279" s="45"/>
      <x:c r="Y279" s="45"/>
      <x:c r="Z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45"/>
      <x:c r="Q280" s="45"/>
      <x:c r="R280" s="45"/>
      <x:c r="S280" s="45"/>
      <x:c r="T280" s="45"/>
      <x:c r="U280" s="45"/>
      <x:c r="V280" s="45"/>
      <x:c r="W280" s="45"/>
      <x:c r="X280" s="45"/>
      <x:c r="Y280" s="45"/>
      <x:c r="Z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45"/>
      <x:c r="Q281" s="45"/>
      <x:c r="R281" s="45"/>
      <x:c r="S281" s="45"/>
      <x:c r="T281" s="45"/>
      <x:c r="U281" s="45"/>
      <x:c r="V281" s="45"/>
      <x:c r="W281" s="45"/>
      <x:c r="X281" s="45"/>
      <x:c r="Y281" s="45"/>
      <x:c r="Z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45"/>
      <x:c r="Q282" s="45"/>
      <x:c r="R282" s="45"/>
      <x:c r="S282" s="45"/>
      <x:c r="T282" s="45"/>
      <x:c r="U282" s="45"/>
      <x:c r="V282" s="45"/>
      <x:c r="W282" s="45"/>
      <x:c r="X282" s="45"/>
      <x:c r="Y282" s="45"/>
      <x:c r="Z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45"/>
      <x:c r="Q283" s="45"/>
      <x:c r="R283" s="45"/>
      <x:c r="S283" s="45"/>
      <x:c r="T283" s="45"/>
      <x:c r="U283" s="45"/>
      <x:c r="V283" s="45"/>
      <x:c r="W283" s="45"/>
      <x:c r="X283" s="45"/>
      <x:c r="Y283" s="45"/>
      <x:c r="Z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45"/>
      <x:c r="Q284" s="45"/>
      <x:c r="R284" s="45"/>
      <x:c r="S284" s="45"/>
      <x:c r="T284" s="45"/>
      <x:c r="U284" s="45"/>
      <x:c r="V284" s="45"/>
      <x:c r="W284" s="45"/>
      <x:c r="X284" s="45"/>
      <x:c r="Y284" s="45"/>
      <x:c r="Z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45"/>
      <x:c r="Q285" s="45"/>
      <x:c r="R285" s="45"/>
      <x:c r="S285" s="45"/>
      <x:c r="T285" s="45"/>
      <x:c r="U285" s="45"/>
      <x:c r="V285" s="45"/>
      <x:c r="W285" s="45"/>
      <x:c r="X285" s="45"/>
      <x:c r="Y285" s="45"/>
      <x:c r="Z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45"/>
      <x:c r="Q287" s="45"/>
      <x:c r="R287" s="45"/>
      <x:c r="S287" s="45"/>
      <x:c r="T287" s="45"/>
      <x:c r="U287" s="45"/>
      <x:c r="V287" s="45"/>
      <x:c r="W287" s="45"/>
      <x:c r="X287" s="45"/>
      <x:c r="Y287" s="45"/>
      <x:c r="Z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45"/>
      <x:c r="Q288" s="45"/>
      <x:c r="R288" s="45"/>
      <x:c r="S288" s="45"/>
      <x:c r="T288" s="45"/>
      <x:c r="U288" s="45"/>
      <x:c r="V288" s="45"/>
      <x:c r="W288" s="45"/>
      <x:c r="X288" s="45"/>
      <x:c r="Y288" s="45"/>
      <x:c r="Z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45"/>
      <x:c r="Q289" s="45"/>
      <x:c r="R289" s="45"/>
      <x:c r="S289" s="45"/>
      <x:c r="T289" s="45"/>
      <x:c r="U289" s="45"/>
      <x:c r="V289" s="45"/>
      <x:c r="W289" s="45"/>
      <x:c r="X289" s="45"/>
      <x:c r="Y289" s="45"/>
      <x:c r="Z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45"/>
      <x:c r="Q291" s="45"/>
      <x:c r="R291" s="45"/>
      <x:c r="S291" s="45"/>
      <x:c r="T291" s="45"/>
      <x:c r="U291" s="45"/>
      <x:c r="V291" s="45"/>
      <x:c r="W291" s="45"/>
      <x:c r="X291" s="45"/>
      <x:c r="Y291" s="45"/>
      <x:c r="Z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45"/>
      <x:c r="Q293" s="45"/>
      <x:c r="R293" s="45"/>
      <x:c r="S293" s="45"/>
      <x:c r="T293" s="45"/>
      <x:c r="U293" s="45"/>
      <x:c r="V293" s="45"/>
      <x:c r="W293" s="45"/>
      <x:c r="X293" s="45"/>
      <x:c r="Y293" s="45"/>
      <x:c r="Z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45"/>
      <x:c r="Q295" s="45"/>
      <x:c r="R295" s="45"/>
      <x:c r="S295" s="45"/>
      <x:c r="T295" s="45"/>
      <x:c r="U295" s="45"/>
      <x:c r="V295" s="45"/>
      <x:c r="W295" s="45"/>
      <x:c r="X295" s="45"/>
      <x:c r="Y295" s="45"/>
      <x:c r="Z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45"/>
      <x:c r="Q296" s="45"/>
      <x:c r="R296" s="45"/>
      <x:c r="S296" s="45"/>
      <x:c r="T296" s="45"/>
      <x:c r="U296" s="45"/>
      <x:c r="V296" s="45"/>
      <x:c r="W296" s="45"/>
      <x:c r="X296" s="45"/>
      <x:c r="Y296" s="45"/>
      <x:c r="Z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45"/>
      <x:c r="Q297" s="45"/>
      <x:c r="R297" s="45"/>
      <x:c r="S297" s="45"/>
      <x:c r="T297" s="45"/>
      <x:c r="U297" s="45"/>
      <x:c r="V297" s="45"/>
      <x:c r="W297" s="45"/>
      <x:c r="X297" s="45"/>
      <x:c r="Y297" s="45"/>
      <x:c r="Z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45"/>
      <x:c r="Q298" s="45"/>
      <x:c r="R298" s="45"/>
      <x:c r="S298" s="45"/>
      <x:c r="T298" s="45"/>
      <x:c r="U298" s="45"/>
      <x:c r="V298" s="45"/>
      <x:c r="W298" s="45"/>
      <x:c r="X298" s="45"/>
      <x:c r="Y298" s="45"/>
      <x:c r="Z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45"/>
      <x:c r="Q299" s="45"/>
      <x:c r="R299" s="45"/>
      <x:c r="S299" s="45"/>
      <x:c r="T299" s="45"/>
      <x:c r="U299" s="45"/>
      <x:c r="V299" s="45"/>
      <x:c r="W299" s="45"/>
      <x:c r="X299" s="45"/>
      <x:c r="Y299" s="45"/>
      <x:c r="Z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45"/>
      <x:c r="Q300" s="45"/>
      <x:c r="R300" s="45"/>
      <x:c r="S300" s="45"/>
      <x:c r="T300" s="45"/>
      <x:c r="U300" s="45"/>
      <x:c r="V300" s="45"/>
      <x:c r="W300" s="45"/>
      <x:c r="X300" s="45"/>
      <x:c r="Y300" s="45"/>
      <x:c r="Z300" s="4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2" hidden="0" customWidth="1"/>
    <x:col min="4" max="4" width="28" hidden="0" customWidth="1"/>
    <x:col min="5" max="5" width="28" hidden="0" customWidth="1"/>
    <x:col min="6" max="6" width="54" hidden="0" customWidth="1"/>
  </x:cols>
  <x:sheetData>
    <x:row r="1" ht="30" customHeight="1">
      <x:c r="A1" s="86" t="str">
        <x:v>MINGO — PHASE 2 INDEPENDENT QC/QA AUDIT</x:v>
      </x:c>
      <x:c r="B1" s="86" t="str"/>
      <x:c r="C1" s="86" t="str"/>
      <x:c r="D1" s="82" t="str"/>
      <x:c r="E1" s="82" t="str"/>
      <x:c r="F1" s="82" t="str"/>
    </x:row>
    <x:row r="2">
      <x:c r="A2" s="26" t="str">
        <x:v>Audit date</x:v>
      </x:c>
      <x:c r="B2" s="26" t="str">
        <x:v>2026-09-27</x:v>
      </x:c>
      <x:c r="C2" s="26" t="str">
        <x:v>Decision</x:v>
      </x:c>
      <x:c r="D2" s="76" t="str">
        <x:v>NOT PASSED — REWORK REQUIRED</x:v>
      </x:c>
      <x:c r="E2" s="26" t="str">
        <x:v>Architecture</x:v>
      </x:c>
      <x:c r="F2" s="26" t="str">
        <x:v>V3.2 unchanged</x:v>
      </x:c>
    </x:row>
    <x:row r="3">
      <x:c r="A3" s="26" t="str">
        <x:v>Method</x:v>
      </x:c>
      <x:c r="B3" s="26" t="str">
        <x:v>Package integrity + static verifier + workbook audit + source-code interaction audit + evidence screenshot review + research benchmark</x:v>
      </x:c>
      <x:c r="C3" s="26" t="str"/>
      <x:c r="D3" s="26" t="str"/>
      <x:c r="E3" s="26" t="str"/>
      <x:c r="F3" s="26" t="str"/>
    </x:row>
    <x:row r="4">
      <x:c r="A4" s="26" t="str">
        <x:v>Important limitation</x:v>
      </x:c>
      <x:c r="B4" s="26" t="str">
        <x:v>Fresh browser runtime navigation was blocked by this execution environment; source/state defects are deterministic, while unexecuted interactive cases remain NOT RUN/BLOCKED.</x:v>
      </x:c>
      <x:c r="C4" s="26" t="str"/>
      <x:c r="D4" s="26" t="str"/>
      <x:c r="E4" s="26" t="str"/>
      <x:c r="F4" s="26" t="str"/>
    </x:row>
    <x:row r="5">
      <x:c r="A5" s="26" t="str"/>
      <x:c r="B5" s="26" t="str"/>
      <x:c r="C5" s="26" t="str"/>
      <x:c r="D5" s="26" t="str"/>
      <x:c r="E5" s="26" t="str"/>
      <x:c r="F5" s="26" t="str"/>
    </x:row>
    <x:row r="6">
      <x:c r="A6" s="74" t="str">
        <x:v>CONTROL METRICS</x:v>
      </x:c>
      <x:c r="B6" s="74" t="str">
        <x:v>Observed</x:v>
      </x:c>
      <x:c r="C6" s="74" t="str">
        <x:v>Interpretation</x:v>
      </x:c>
      <x:c r="D6" s="87" t="str">
        <x:v>INDEPENDENT QA EXTENSION</x:v>
      </x:c>
      <x:c r="E6" s="87" t="str">
        <x:v>Observed</x:v>
      </x:c>
      <x:c r="F6" s="87" t="str">
        <x:v>Why</x:v>
      </x:c>
    </x:row>
    <x:row r="7">
      <x:c r="A7" s="26" t="str">
        <x:v>Manifest integrity</x:v>
      </x:c>
      <x:c r="B7" s="26" t="str">
        <x:v>PASS</x:v>
      </x:c>
      <x:c r="C7" s="26" t="str">
        <x:v>All files in candidate manifest verified.</x:v>
      </x:c>
      <x:c r="D7" s="26" t="str">
        <x:v>Added cases</x:v>
      </x:c>
      <x:c r="E7" s="26" t="n">
        <x:v>7</x:v>
      </x:c>
      <x:c r="F7" s="26" t="str">
        <x:v>Cases added to catch coverage gaps found during audit.</x:v>
      </x:c>
    </x:row>
    <x:row r="8">
      <x:c r="A8" s="26" t="str">
        <x:v>Static artifact verifier</x:v>
      </x:c>
      <x:c r="B8" s="26" t="str">
        <x:v>PASS</x:v>
      </x:c>
      <x:c r="C8" s="26" t="str">
        <x:v>57 screens / 18 components / 16 PRDs / 87 QA cases; no verifier errors.</x:v>
      </x:c>
      <x:c r="D8" s="26" t="str">
        <x:v>New P0 cases</x:v>
      </x:c>
      <x:c r="E8" s="26" t="n">
        <x:v>2</x:v>
      </x:c>
      <x:c r="F8" s="26" t="str">
        <x:v>Blank-submit integrity; connectivity ≠ authoritative sync.</x:v>
      </x:c>
    </x:row>
    <x:row r="9">
      <x:c r="A9" s="26" t="str">
        <x:v>Prepared QA cases</x:v>
      </x:c>
      <x:c r="B9" s="26" t="n">
        <x:v>87</x:v>
      </x:c>
      <x:c r="C9" s="26" t="str">
        <x:v>42 P0 + 45 P1.</x:v>
      </x:c>
      <x:c r="D9" s="26" t="str">
        <x:v>New P1 cases</x:v>
      </x:c>
      <x:c r="E9" s="26" t="n">
        <x:v>5</x:v>
      </x:c>
      <x:c r="F9" s="26" t="str">
        <x:v>Grammar, Listening, publishing lifecycle, accessibility names, traceability.</x:v>
      </x:c>
    </x:row>
    <x:row r="10">
      <x:c r="A10" s="26" t="str">
        <x:v>Original execution state</x:v>
      </x:c>
      <x:c r="B10" s="26" t="str">
        <x:v>0/87 executed</x:v>
      </x:c>
      <x:c r="C10" s="26" t="str">
        <x:v>Candidate was not QA-passed when delivered.</x:v>
      </x:c>
      <x:c r="D10" s="26" t="str">
        <x:v>Current live total</x:v>
      </x:c>
      <x:c r="E10" s="26" t="n">
        <x:v>94</x:v>
      </x:c>
      <x:c r="F10" s="26" t="str">
        <x:v>87 original + 7 independent gap/regression cases.</x:v>
      </x:c>
    </x:row>
    <x:row r="11">
      <x:c r="A11" s="26" t="str">
        <x:v>Screen→QA explicit mapping</x:v>
      </x:c>
      <x:c r="B11" s="26" t="str">
        <x:v>0/57</x:v>
      </x:c>
      <x:c r="C11" s="26" t="str">
        <x:v>No screen ID occurs explicitly in QA_TEST_CASES.csv.</x:v>
      </x:c>
      <x:c r="D11" s="26" t="str">
        <x:v>Independent status</x:v>
      </x:c>
      <x:c r="E11" s="26" t="str">
        <x:v>10 PASS / 10 FAIL / 7 BLOCKED / 67 NOT RUN</x:v>
      </x:c>
      <x:c r="F11" s="26" t="str">
        <x:v>After adding the new cases; full runtime execution still required.</x:v>
      </x:c>
    </x:row>
    <x:row r="12">
      <x:c r="A12" s="26" t="str">
        <x:v>PRD traceability screen references</x:v>
      </x:c>
      <x:c r="B12" s="26" t="str">
        <x:v>34/57 (59.6%)</x:v>
      </x:c>
      <x:c r="C12" s="26" t="str">
        <x:v>Supporting screens may be valid, but state-level coverage is not demonstrable.</x:v>
      </x:c>
      <x:c r="D12" s="26" t="str">
        <x:v>Open P0/P1 defects</x:v>
      </x:c>
      <x:c r="E12" s="26" t="n">
        <x:v>14</x:v>
      </x:c>
      <x:c r="F12" s="26" t="str">
        <x:v>3 P0 + 11 P1; gate cannot pass.</x:v>
      </x:c>
    </x:row>
    <x:row r="13">
      <x:c r="A13" s="26" t="str">
        <x:v>Independent defects logged</x:v>
      </x:c>
      <x:c r="B13" s="26" t="n">
        <x:v>16</x:v>
      </x:c>
      <x:c r="C13" s="26" t="str">
        <x:v>P0/P1 must be closed before gate; P2 requires explicit acceptance if deferred.</x:v>
      </x:c>
      <x:c r="D13" s="26" t="str">
        <x:v>P2 observations</x:v>
      </x:c>
      <x:c r="E13" s="26" t="n">
        <x:v>2</x:v>
      </x:c>
      <x:c r="F13" s="26" t="str">
        <x:v>May defer only with explicit acceptance after mandatory issues close.</x:v>
      </x:c>
    </x:row>
    <x:row r="14">
      <x:c r="A14" s="26" t="str"/>
      <x:c r="B14" s="26" t="str"/>
      <x:c r="C14" s="26" t="str"/>
      <x:c r="D14" s="26" t="str"/>
      <x:c r="E14" s="26" t="str"/>
      <x:c r="F14" s="26" t="str"/>
    </x:row>
    <x:row r="15">
      <x:c r="A15" s="74" t="str">
        <x:v>GATE ASSESSMENT</x:v>
      </x:c>
      <x:c r="B15" s="74" t="str">
        <x:v>Status</x:v>
      </x:c>
      <x:c r="C15" s="74" t="str">
        <x:v>Reason</x:v>
      </x:c>
      <x:c r="D15" s="74" t="str"/>
      <x:c r="E15" s="74" t="str"/>
      <x:c r="F15" s="74" t="str"/>
    </x:row>
    <x:row r="16">
      <x:c r="A16" s="26" t="str">
        <x:v>Package/provenance</x:v>
      </x:c>
      <x:c r="B16" s="26" t="str">
        <x:v>PASS</x:v>
      </x:c>
      <x:c r="C16" s="26" t="str">
        <x:v>Strong organization, checksums, V3.2 provenance and phase boundaries.</x:v>
      </x:c>
      <x:c r="D16" s="26" t="str"/>
      <x:c r="E16" s="26" t="str"/>
      <x:c r="F16" s="26" t="str"/>
    </x:row>
    <x:row r="17">
      <x:c r="A17" s="26" t="str">
        <x:v>Learning integrity</x:v>
      </x:c>
      <x:c r="B17" s="26" t="str">
        <x:v>FAIL</x:v>
      </x:c>
      <x:c r="C17" s="26" t="str">
        <x:v>Wrong answer key, blank progression, assisted-state loss.</x:v>
      </x:c>
      <x:c r="D17" s="26" t="str"/>
      <x:c r="E17" s="26" t="str"/>
      <x:c r="F17" s="26" t="str"/>
    </x:row>
    <x:row r="18">
      <x:c r="A18" s="26" t="str">
        <x:v>Offline/server-authority UX</x:v>
      </x:c>
      <x:c r="B18" s="26" t="str">
        <x:v>FAIL</x:v>
      </x:c>
      <x:c r="C18" s="26" t="str">
        <x:v>Network restoration is conflated with authoritative sync; mandatory recovery states not executable.</x:v>
      </x:c>
      <x:c r="D18" s="26" t="str"/>
      <x:c r="E18" s="26" t="str"/>
      <x:c r="F18" s="26" t="str"/>
    </x:row>
    <x:row r="19">
      <x:c r="A19" s="26" t="str">
        <x:v>MVP domain coverage</x:v>
      </x:c>
      <x:c r="B19" s="26" t="str">
        <x:v>FAIL</x:v>
      </x:c>
      <x:c r="C19" s="26" t="str">
        <x:v>Listening and grammar interaction examples are not implementation-testable.</x:v>
      </x:c>
      <x:c r="D19" s="26" t="str"/>
      <x:c r="E19" s="26" t="str"/>
      <x:c r="F19" s="26" t="str"/>
    </x:row>
    <x:row r="20">
      <x:c r="A20" s="26" t="str">
        <x:v>Staff content lifecycle</x:v>
      </x:c>
      <x:c r="B20" s="26" t="str">
        <x:v>FAIL</x:v>
      </x:c>
      <x:c r="C20" s="26" t="str">
        <x:v>Publish lifecycle is not end-to-end executable.</x:v>
      </x:c>
      <x:c r="D20" s="26" t="str"/>
      <x:c r="E20" s="26" t="str"/>
      <x:c r="F20" s="26" t="str"/>
    </x:row>
    <x:row r="21">
      <x:c r="A21" s="26" t="str">
        <x:v>Accessibility readiness</x:v>
      </x:c>
      <x:c r="B21" s="26" t="str">
        <x:v>FAIL/PENDING</x:v>
      </x:c>
      <x:c r="C21" s="26" t="str">
        <x:v>Good target-size/contrast intent, but accessible names and focus/live-region strategy need repair and real testing.</x:v>
      </x:c>
      <x:c r="D21" s="26" t="str"/>
      <x:c r="E21" s="26" t="str"/>
      <x:c r="F21" s="26" t="str"/>
    </x:row>
    <x:row r="22">
      <x:c r="A22" s="26" t="str">
        <x:v>Developer handoff</x:v>
      </x:c>
      <x:c r="B22" s="26" t="str">
        <x:v>FAIL</x:v>
      </x:c>
      <x:c r="C22" s="26" t="str">
        <x:v>Complex screen interaction contracts and screen/state→QA mapping remain underspecified.</x:v>
      </x:c>
      <x:c r="D22" s="26" t="str"/>
      <x:c r="E22" s="26" t="str"/>
      <x:c r="F22" s="26" t="str"/>
    </x:row>
    <x:row r="23">
      <x:c r="A23" s="26" t="str">
        <x:v>Phase 2 gate</x:v>
      </x:c>
      <x:c r="B23" s="76" t="str">
        <x:v>NOT PASSED</x:v>
      </x:c>
      <x:c r="C23" s="26" t="str">
        <x:v>Open P0/P1 defects + mandatory P0 cases not fully passed + signoffs pending.</x:v>
      </x:c>
      <x:c r="D23" s="26" t="str"/>
      <x:c r="E23" s="26" t="str"/>
      <x:c r="F23" s="26" t="str"/>
    </x:row>
    <x:row r="24">
      <x:c r="A24" s="26" t="str"/>
      <x:c r="B24" s="26" t="str"/>
      <x:c r="C24" s="26" t="str"/>
      <x:c r="D24" s="26" t="str"/>
      <x:c r="E24" s="26" t="str"/>
      <x:c r="F24" s="26" t="str"/>
    </x:row>
    <x:row r="25">
      <x:c r="A25" s="74" t="str">
        <x:v>RESEARCH BENCHMARK</x:v>
      </x:c>
      <x:c r="B25" s="74" t="str">
        <x:v>Implication for Mingo</x:v>
      </x:c>
      <x:c r="C25" s="74" t="str">
        <x:v>Source</x:v>
      </x:c>
      <x:c r="D25" s="74" t="str"/>
      <x:c r="E25" s="74" t="str"/>
      <x:c r="F25" s="74" t="str"/>
    </x:row>
    <x:row r="26">
      <x:c r="A26" s="26" t="str">
        <x:v>Retrieval practice</x:v>
      </x:c>
      <x:c r="B26" s="26" t="str">
        <x:v>Keep Retrieve/Check meaningful and independent; correctness/evidence semantics are product-critical, not cosmetic.</x:v>
      </x:c>
      <x:c r="C26" s="26" t="str">
        <x:v>Roediger &amp; Karpicke (2006), PMID 16507066</x:v>
      </x:c>
      <x:c r="D26" s="26" t="str"/>
      <x:c r="E26" s="26" t="str"/>
      <x:c r="F26" s="26" t="str"/>
    </x:row>
    <x:row r="27">
      <x:c r="A27" s="26" t="str">
        <x:v>Spacing</x:v>
      </x:c>
      <x:c r="B27" s="26" t="str">
        <x:v>Due-review is scientifically defensible, but exact spacing policy remains a product hypothesis to validate.</x:v>
      </x:c>
      <x:c r="C27" s="26" t="str">
        <x:v>Cepeda et al. (2006), PMID 16719566</x:v>
      </x:c>
      <x:c r="D27" s="26" t="str"/>
      <x:c r="E27" s="26" t="str"/>
      <x:c r="F27" s="26" t="str"/>
    </x:row>
    <x:row r="28">
      <x:c r="A28" s="26" t="str">
        <x:v>Transfer</x:v>
      </x:c>
      <x:c r="B28" s="26" t="str">
        <x:v>Transfer step has pedagogical value when cue/context genuinely changes.</x:v>
      </x:c>
      <x:c r="C28" s="26" t="str">
        <x:v>Butler (2010), PMID 20804289</x:v>
      </x:c>
      <x:c r="D28" s="26" t="str"/>
      <x:c r="E28" s="26" t="str"/>
      <x:c r="F28" s="26" t="str"/>
    </x:row>
    <x:row r="29">
      <x:c r="A29" s="26" t="str">
        <x:v>Adult L2 vocabulary</x:v>
      </x:c>
      <x:c r="B29" s="26" t="str">
        <x:v>Avoid exposure-only design; combine spacing, retrieval and semantic/user-generated responses.</x:v>
      </x:c>
      <x:c r="C29" s="26" t="str">
        <x:v>Rice &amp; Tokowicz review, SSLA 2020, DOI 10.1017/S0272263119000500</x:v>
      </x:c>
      <x:c r="D29" s="26" t="str"/>
      <x:c r="E29" s="26" t="str"/>
      <x:c r="F29" s="26" t="str"/>
    </x:row>
    <x:row r="30">
      <x:c r="A30" s="26" t="str">
        <x:v>Short sessions</x:v>
      </x:c>
      <x:c r="B30" s="26" t="str">
        <x:v>Microlearning supports bite-sized targeted activity, but evidence does not justify hard-freezing exactly 5 minutes.</x:v>
      </x:c>
      <x:c r="C30" s="26" t="str">
        <x:v>Heliyon systematic review (2024), DOI 10.1016/j.heliyon.2024.e41413</x:v>
      </x:c>
      <x:c r="D30" s="26" t="str"/>
      <x:c r="E30" s="26" t="str"/>
      <x:c r="F30" s="26" t="str"/>
    </x:row>
    <x:row r="31">
      <x:c r="A31" s="26" t="str">
        <x:v>Autonomy</x:v>
      </x:c>
      <x:c r="B31" s="26" t="str">
        <x:v>Optional goal/placement and explicit rationale are directionally sound; preserve learner choice without weakening prerequisites.</x:v>
      </x:c>
      <x:c r="C31" s="26" t="str">
        <x:v>Contemporary Educational Psychology meta-analysis (2023), DOI 10.1016/j.cedpsych.2023.102235</x:v>
      </x:c>
      <x:c r="D31" s="26" t="str"/>
      <x:c r="E31" s="26" t="str"/>
      <x:c r="F31" s="26" t="str"/>
    </x:row>
    <x:row r="32">
      <x:c r="A32" s="26" t="str">
        <x:v>Mobile accessibility</x:v>
      </x:c>
      <x:c r="B32" s="26" t="str">
        <x:v>48dp target baseline is appropriate for Android-first learner UI.</x:v>
      </x:c>
      <x:c r="C32" s="26" t="str">
        <x:v>Android Developers accessibility guidance</x:v>
      </x:c>
      <x:c r="D32" s="26" t="str"/>
      <x:c r="E32" s="26" t="str"/>
      <x:c r="F32" s="26" t="str"/>
    </x:row>
    <x:row r="33">
      <x:c r="A33" s="26" t="str">
        <x:v>Web accessibility</x:v>
      </x:c>
      <x:c r="B33" s="26" t="str">
        <x:v>Contrast, 200% text resize and non-color-only semantics should remain gate checks.</x:v>
      </x:c>
      <x:c r="C33" s="26" t="str">
        <x:v>WCAG 2.2</x:v>
      </x:c>
      <x:c r="D33" s="26" t="str"/>
      <x:c r="E33" s="26" t="str"/>
      <x:c r="F33" s="26" t="str"/>
    </x:row>
    <x:row r="34">
      <x:c r="A34" s="26" t="str">
        <x:v>Gamification</x:v>
      </x:c>
      <x:c r="B34" s="26" t="str">
        <x:v>Avoid assuming leaderboards/competition are universally beneficial; context and individual preference matter.</x:v>
      </x:c>
      <x:c r="C34" s="26" t="str">
        <x:v>Ameen (2026) systematic review, DOI 10.1186/s40561-026-00447-z</x:v>
      </x:c>
      <x:c r="D34" s="26" t="str"/>
      <x:c r="E34" s="26" t="str"/>
      <x:c r="F34" s="26" t="str"/>
    </x:row>
    <x:row r="35">
      <x:c r="A35" s="26" t="str"/>
      <x:c r="B35" s="26" t="str"/>
      <x:c r="C35" s="26" t="str"/>
      <x:c r="D35" s="26" t="str"/>
      <x:c r="E35" s="26" t="str"/>
      <x:c r="F35" s="26" t="str"/>
    </x:row>
    <x:row r="36">
      <x:c r="A36" s="74" t="str">
        <x:v>REQUIRED REWORK ORDER</x:v>
      </x:c>
      <x:c r="B36" s="74" t="str">
        <x:v>Acceptance condition</x:v>
      </x:c>
      <x:c r="C36" s="74" t="str"/>
      <x:c r="D36" s="74" t="str"/>
      <x:c r="E36" s="74" t="str"/>
      <x:c r="F36" s="74" t="str"/>
    </x:row>
    <x:row r="37">
      <x:c r="A37" s="26" t="str">
        <x:v>1. Learning-integrity blockers</x:v>
      </x:c>
      <x:c r="B37" s="26" t="str">
        <x:v>Fix P2-D001..D003 and add regression cases for answer key, blank submit, hint-assisted evidence.</x:v>
      </x:c>
      <x:c r="C37" s="26" t="str"/>
      <x:c r="D37" s="26" t="str"/>
      <x:c r="E37" s="26" t="str"/>
      <x:c r="F37" s="26" t="str"/>
    </x:row>
    <x:row r="38">
      <x:c r="A38" s="26" t="str">
        <x:v>2. Offline authority states</x:v>
      </x:c>
      <x:c r="B38" s="26" t="str">
        <x:v>Fix P2-D004/D006; demonstrate queued→syncing→acknowledged synced and error/canonical refresh.</x:v>
      </x:c>
      <x:c r="C38" s="26" t="str"/>
      <x:c r="D38" s="26" t="str"/>
      <x:c r="E38" s="26" t="str"/>
      <x:c r="F38" s="26" t="str"/>
    </x:row>
    <x:row r="39">
      <x:c r="A39" s="26" t="str">
        <x:v>3. MVP content interaction coverage</x:v>
      </x:c>
      <x:c r="B39" s="26" t="str">
        <x:v>Add executable Listening + Grammar examples and first-use/placement flow.</x:v>
      </x:c>
      <x:c r="C39" s="26" t="str"/>
      <x:c r="D39" s="26" t="str"/>
      <x:c r="E39" s="26" t="str"/>
      <x:c r="F39" s="26" t="str"/>
    </x:row>
    <x:row r="40">
      <x:c r="A40" s="26" t="str">
        <x:v>4. Staff publishing</x:v>
      </x:c>
      <x:c r="B40" s="26" t="str">
        <x:v>Make draft→review→provenance fix→approve→publish confirmation→published/new-draft executable.</x:v>
      </x:c>
      <x:c r="C40" s="26" t="str"/>
      <x:c r="D40" s="26" t="str"/>
      <x:c r="E40" s="26" t="str"/>
      <x:c r="F40" s="26" t="str"/>
    </x:row>
    <x:row r="41">
      <x:c r="A41" s="26" t="str">
        <x:v>5. Accessibility</x:v>
      </x:c>
      <x:c r="B41" s="26" t="str">
        <x:v>Repair accessible names/focus semantics and run keyboard, screen-reader/TalkBack, contrast, 200% scale and viewport checks.</x:v>
      </x:c>
      <x:c r="C41" s="26" t="str"/>
      <x:c r="D41" s="26" t="str"/>
      <x:c r="E41" s="26" t="str"/>
      <x:c r="F41" s="26" t="str"/>
    </x:row>
    <x:row r="42">
      <x:c r="A42" s="26" t="str">
        <x:v>6. Handoff/traceability</x:v>
      </x:c>
      <x:c r="B42" s="26" t="str">
        <x:v>Add detailed complex-screen contracts and Screen→State→QA mapping; then rerun all P0 and full suite.</x:v>
      </x:c>
      <x:c r="C42" s="26" t="str"/>
      <x:c r="D42" s="26" t="str"/>
      <x:c r="E42" s="26" t="str"/>
      <x:c r="F42" s="26" t="str"/>
    </x:row>
  </x:sheetData>
  <x:mergeCells>
    <x:mergeCell ref="A1:F1"/>
  </x:mergeCells>
  <x:pageMargins left="0.7" right="0.7" top="0.75" bottom="0.75" header="0.3" footer="0.3"/>
</x:worksheet>
</file>