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Mingo\outputs\mingo-ui-20260927\"/>
    </mc:Choice>
  </mc:AlternateContent>
  <xr:revisionPtr revIDLastSave="0" documentId="8_{964EBE6B-8F9F-412B-B08A-9B181602AB6C}" xr6:coauthVersionLast="47" xr6:coauthVersionMax="47" xr10:uidLastSave="{00000000-0000-0000-0000-000000000000}"/>
  <bookViews>
    <workbookView xWindow="2688" yWindow="2688" windowWidth="17280" windowHeight="8880" xr2:uid="{00000000-000D-0000-FFFF-FFFF00000000}"/>
  </bookViews>
  <sheets>
    <sheet name="00_BAT_DAU" sheetId="1" r:id="rId1"/>
    <sheet name="01_TONG_QUAN" sheetId="2" r:id="rId2"/>
    <sheet name="02_SAN_PHAM" sheetId="3" r:id="rId3"/>
    <sheet name="03_ROADMAP" sheetId="4" r:id="rId4"/>
    <sheet name="04_CONG_VIEC" sheetId="5" r:id="rId5"/>
    <sheet name="05_VAN_DE_THAY_DOI" sheetId="6" r:id="rId6"/>
    <sheet name="06_BANG_CHUNG" sheetId="7" r:id="rId7"/>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8" i="4" l="1"/>
  <c r="F37" i="4"/>
  <c r="F36" i="4"/>
  <c r="F35" i="4"/>
  <c r="F34" i="4"/>
  <c r="F33" i="4"/>
  <c r="F32" i="4"/>
  <c r="F31" i="4"/>
  <c r="F30" i="4"/>
  <c r="F29" i="4"/>
  <c r="F28" i="4"/>
  <c r="F27" i="4"/>
  <c r="E6" i="4"/>
  <c r="E25" i="2"/>
  <c r="E24" i="2"/>
  <c r="E23" i="2"/>
  <c r="E22" i="2"/>
  <c r="E21" i="2"/>
  <c r="E20" i="2"/>
  <c r="N14" i="2"/>
  <c r="N15" i="2" s="1"/>
  <c r="N13" i="2"/>
  <c r="P7" i="2"/>
  <c r="L7" i="2"/>
  <c r="G7" i="2"/>
  <c r="H58" i="1"/>
  <c r="H55" i="1"/>
  <c r="H52" i="1"/>
  <c r="H49" i="1"/>
  <c r="H46" i="1"/>
  <c r="H43" i="1"/>
  <c r="N22" i="1"/>
  <c r="H22" i="1"/>
  <c r="B22" i="1"/>
  <c r="N14" i="1"/>
  <c r="H14" i="1"/>
  <c r="B14" i="1"/>
</calcChain>
</file>

<file path=xl/sharedStrings.xml><?xml version="1.0" encoding="utf-8"?>
<sst xmlns="http://schemas.openxmlformats.org/spreadsheetml/2006/main" count="2052" uniqueCount="563">
  <si>
    <t>MINGO</t>
  </si>
  <si>
    <t>Quản lý dự án  /  Từ ý tưởng đến sản phẩm</t>
  </si>
  <si>
    <t>Workbook này có 7 sheet. Mỗi sheet trả lời đúng một câu hỏi. Nếu mới vào dự án, đọc sheet này → 01_TONG_QUAN → 02_SAN_PHAM trước khi code.</t>
  </si>
  <si>
    <t>01    Tổng quan</t>
  </si>
  <si>
    <t>02    Sản phẩm</t>
  </si>
  <si>
    <t>03    Roadmap</t>
  </si>
  <si>
    <t>Xem phase hiện tại, blocker, tiến độ Phase 1 và thứ tự việc tiếp theo.</t>
  </si>
  <si>
    <t>Hiểu luồng learner, luật dễ làm sai, nội dung đã chốt/chưa chốt, V3.2.</t>
  </si>
  <si>
    <t>Xem mục tiêu từng phase và checklist Phase 1 được đồng bộ từ Task.</t>
  </si>
  <si>
    <t>Owner / Lead / Team</t>
  </si>
  <si>
    <t>Tất cả mọi người</t>
  </si>
  <si>
    <t>Owner / Lead</t>
  </si>
  <si>
    <t>04    Công việc</t>
  </si>
  <si>
    <t>05    Vấn đề / Thay đổi</t>
  </si>
  <si>
    <t>06    Bằng chứng</t>
  </si>
  <si>
    <t>Sheet team dùng hằng ngày: người phụ trách, người kiểm tra, hạn, việc tiếp theo, bằng chứng, ghi chú.</t>
  </si>
  <si>
    <t>Issue kỹ thuật, đề nghị thay đổi nội dung đã chốt, note/action.</t>
  </si>
  <si>
    <t>Phân biệt PASS hiện tại, PASS lịch sử, chờ chạy và bị chặn.</t>
  </si>
  <si>
    <t>Dev / QA / Content / Data</t>
  </si>
  <si>
    <t>QA / Lead / Owner</t>
  </si>
  <si>
    <t>5 QUY TẮC LÀM VIỆC</t>
  </si>
  <si>
    <t>Không tự sửa nội dung đã chốt.</t>
  </si>
  <si>
    <t>Muốn đổi kiến trúc/business rule đã khóa → tạo Đề nghị thay đổi (Change Request).</t>
  </si>
  <si>
    <t>Không đánh XONG chỉ vì có code.</t>
  </si>
  <si>
    <t>XONG phải có bằng chứng phù hợp: test, runtime, CI hoặc review theo gate.</t>
  </si>
  <si>
    <t>Phase 2 chưa được bắt đầu chính thức.</t>
  </si>
  <si>
    <t>Chỉ đủ điều kiện khi toàn bộ task bắt buộc của Phase 1 XONG.</t>
  </si>
  <si>
    <t>Task là nguồn trạng thái hằng ngày.</t>
  </si>
  <si>
    <t>Tổng quan và checklist Phase 1 tự đọc trạng thái từ 04_CONG_VIEC để tránh cập nhật lệch.</t>
  </si>
  <si>
    <t>Không ghi mật khẩu/token vào file.</t>
  </si>
  <si>
    <t>Chỉ ghi tên biến môi trường hoặc nơi lưu secret; tuyệt đối không ghi plaintext credential.</t>
  </si>
  <si>
    <t>Hướng dẫn chọn sheet</t>
  </si>
  <si>
    <t>Dự án đang ở đâu?</t>
  </si>
  <si>
    <t>Mingo là sản phẩm gì, nghiệp vụ ra sao?</t>
  </si>
  <si>
    <t>Toàn bộ Phase 0 → 17 là gì?</t>
  </si>
  <si>
    <t>Tôi đang phải làm task nào?</t>
  </si>
  <si>
    <t>Có lỗi hoặc muốn đổi rule thì ghi đâu?</t>
  </si>
  <si>
    <t>Cái gì đã thật sự được test/run?</t>
  </si>
  <si>
    <t>TỪ NGỮ DÙNG TRONG FILE</t>
  </si>
  <si>
    <t>Phase</t>
  </si>
  <si>
    <t>Giai đoạn phát triển có mục tiêu và điều kiện hoàn thành riêng.</t>
  </si>
  <si>
    <t>Gate</t>
  </si>
  <si>
    <t>Điều kiện bắt buộc phải đạt trước khi được coi phase đã hoàn thành.</t>
  </si>
  <si>
    <t>Blocker / Bị chặn</t>
  </si>
  <si>
    <t>Vướng mắc khiến task/gate chưa thể hoàn thành.</t>
  </si>
  <si>
    <t>Evidence / Bằng chứng</t>
  </si>
  <si>
    <t>Kết quả test, log, runtime, CI, artifact hoặc review chứng minh một claim.</t>
  </si>
  <si>
    <t>Issue / Vấn đề</t>
  </si>
  <si>
    <t>Bug, lỗi runtime, thiếu tooling, thiếu credential hoặc ambiguity cần xử lý.</t>
  </si>
  <si>
    <t>Change Request / Đề nghị thay đổi</t>
  </si>
  <si>
    <t>Quy trình xin phép thay đổi nội dung đã chốt.</t>
  </si>
  <si>
    <t>V3.2</t>
  </si>
  <si>
    <t>Baseline kiến trúc + hợp đồng hệ thống của Phase 0; không phải version app.</t>
  </si>
  <si>
    <t>Telemetry</t>
  </si>
  <si>
    <t>Dữ liệu quan sát hành vi như nghe audio, mở hint, xem màn hình; không tự quyết canonical score.</t>
  </si>
  <si>
    <t>Tổng quan dự án MINGO</t>
  </si>
  <si>
    <t>Mingo — Adaptive Language Learning &amp; Early Intervention Platform</t>
  </si>
  <si>
    <t>PHASE HIỆN TẠI</t>
  </si>
  <si>
    <t>TASK PHASE 1 ĐÃ XONG</t>
  </si>
  <si>
    <t>NHÓM BỊ CHẶN</t>
  </si>
  <si>
    <t>TASK ĐANG LÀM</t>
  </si>
  <si>
    <t>Phase 1</t>
  </si>
  <si>
    <t>Nền tảng triển khai</t>
  </si>
  <si>
    <t>Tiến độ theo trạng thái task</t>
  </si>
  <si>
    <t>Đọc từ nhóm blocker</t>
  </si>
  <si>
    <t>Toàn bộ công việc</t>
  </si>
  <si>
    <t>Mục tiêu chính</t>
  </si>
  <si>
    <t>Phase 1 — Nền tảng triển khai (Implementation Foundation)</t>
  </si>
  <si>
    <t>Xây sản phẩm học ngôn ngữ hoàn chỉnh: học tập → offline → dữ liệu → intelligence → risk → recommendation → staff → production.</t>
  </si>
  <si>
    <t>Trạng thái</t>
  </si>
  <si>
    <t>Gate Phase 1</t>
  </si>
  <si>
    <t>Phase 2</t>
  </si>
  <si>
    <t>Phase 0</t>
  </si>
  <si>
    <t>XONG — V3.2.0 là baseline chuẩn của Phase 0</t>
  </si>
  <si>
    <t>CÁC BLOCKER CHÍNH — TỰ ĐỒNG ĐỌC TỪ TASK</t>
  </si>
  <si>
    <t>Nhóm</t>
  </si>
  <si>
    <t>Việc tiếp theo</t>
  </si>
  <si>
    <t>Task nguồn</t>
  </si>
  <si>
    <t>V3.2 original</t>
  </si>
  <si>
    <t>Import exact package + rerun 115 contract + 22 SQL.</t>
  </si>
  <si>
    <t>P1-T001..T003</t>
  </si>
  <si>
    <t>PostgreSQL</t>
  </si>
  <si>
    <t>Provision/access DB → migration → 6 DB tests.</t>
  </si>
  <si>
    <t>P1-T005..T006</t>
  </si>
  <si>
    <t>API + Worker</t>
  </si>
  <si>
    <t>DB khỏe → /ready=200 → worker probe PASS.</t>
  </si>
  <si>
    <t>P1-T007</t>
  </si>
  <si>
    <t>Flutter learner/staff</t>
  </si>
  <si>
    <t>Toolchain → learner Android boot + staff Web boot.</t>
  </si>
  <si>
    <t>P1-T008..T010</t>
  </si>
  <si>
    <t>Hosted CI</t>
  </si>
  <si>
    <t>Có remote → chạy workflow từ clean checkout.</t>
  </si>
  <si>
    <t>P1-T011</t>
  </si>
  <si>
    <t>Clean reproduction</t>
  </si>
  <si>
    <t>Clone sạch và chạy toàn stack.</t>
  </si>
  <si>
    <t>P1-T012</t>
  </si>
  <si>
    <t>THỨ TỰ NÊN LÀM</t>
  </si>
  <si>
    <t>#</t>
  </si>
  <si>
    <t>Việc</t>
  </si>
  <si>
    <t>Mục tiêu</t>
  </si>
  <si>
    <t>Import + rerun V3.2 original</t>
  </si>
  <si>
    <t>Đóng nguồn chuẩn Phase 0 trong canonical repo.</t>
  </si>
  <si>
    <t>PostgreSQL + migration + DB tests</t>
  </si>
  <si>
    <t>Đóng runtime backend quan trọng nhất.</t>
  </si>
  <si>
    <t>API readiness + Worker</t>
  </si>
  <si>
    <t>Chứng minh backend foundation chạy thật.</t>
  </si>
  <si>
    <t>Flutter learner + staff</t>
  </si>
  <si>
    <t>Chứng minh Android/Web chạy thật.</t>
  </si>
  <si>
    <t>Chứng minh clean checkout chạy được.</t>
  </si>
  <si>
    <t>Full clean reproduction</t>
  </si>
  <si>
    <t>Bằng chứng cuối trước khi đóng Phase 1.</t>
  </si>
  <si>
    <t>Không cập nhật trạng thái blocker bằng tay ở đây. Các ô trạng thái được lấy từ 04_CONG_VIEC để giảm lệch dữ liệu.</t>
  </si>
  <si>
    <t>SẢN PHẨM MINGO — NGHIỆP VỤ &amp; LUẬT HỆ THỐNG</t>
  </si>
  <si>
    <t>Đọc sheet này trước khi code nghiệp vụ. Từ kỹ thuật được giữ trong ngoặc khi cần, nhưng ưu tiên diễn đạt dễ hiểu bằng tiếng Việt.</t>
  </si>
  <si>
    <t>TÓM TẮT 4 ĐIỀU CẦN NHỚ</t>
  </si>
  <si>
    <t>1</t>
  </si>
  <si>
    <t>Mingo học theo bằng chứng</t>
  </si>
  <si>
    <t>Không biến streak/click/skip thành mastery.</t>
  </si>
  <si>
    <t>2</t>
  </si>
  <si>
    <t>Máy chủ là nguồn quyết định chính</t>
  </si>
  <si>
    <t>Client gửi hành động/dữ liệu quan sát; server quyết định điểm, tiến độ, quyền.</t>
  </si>
  <si>
    <t>3</t>
  </si>
  <si>
    <t>Offline không được tạo dữ liệu trùng</t>
  </si>
  <si>
    <t>Command và telemetry tách riêng; retry phải idempotent.</t>
  </si>
  <si>
    <t>4</t>
  </si>
  <si>
    <t>ML là lớp tăng cường</t>
  </si>
  <si>
    <t>Không có ML/recommendation thì sản phẩm vẫn phải học được.</t>
  </si>
  <si>
    <t>1. MINGO LÀ GÌ?</t>
  </si>
  <si>
    <t>Mingo là nền tảng học ngôn ngữ thích ứng, khởi đầu với tiếng Anh. Người học đi qua các chu kỳ học ngắn (Learning Cycle) có mục tiêu học rõ ràng, hoạt động tự nhớ/truy xuất (Retrieval), phản hồi và bài kiểm tra độc lập (Check). Hệ thống lưu bằng chứng học tập theo thời gian, hỗ trợ offline, và chỉ sau khi dữ liệu sản phẩm đủ đáng tin mới bổ sung Learning Intelligence → Risk Prediction → Recommendation/Intervention. Mingo phải vẫn hoạt động được khi ML/recommendation bị tắt.</t>
  </si>
  <si>
    <t>2. LUỒNG LEARNER CỐT LÕI</t>
  </si>
  <si>
    <t>Bước</t>
  </si>
  <si>
    <t>Nghiệp vụ</t>
  </si>
  <si>
    <t>Hệ thống làm gì</t>
  </si>
  <si>
    <t>Mở app</t>
  </si>
  <si>
    <t>Người học vào Mingo; có thể chọn mục tiêu cá nhân.</t>
  </si>
  <si>
    <t>Placement ngắn hoặc bỏ qua</t>
  </si>
  <si>
    <t>Tạo trạng thái bắt đầu tạm thời (provisional); không ép placement dài.</t>
  </si>
  <si>
    <t>Chọn mục tiêu học / chu kỳ học</t>
  </si>
  <si>
    <t>Backend chọn nội dung đủ điều kiện theo curriculum, review, focus và prerequisite.</t>
  </si>
  <si>
    <t>Review</t>
  </si>
  <si>
    <t>Ôn đúng thứ cần ôn; không tạo infinite scroll.</t>
  </si>
  <si>
    <t>Learn</t>
  </si>
  <si>
    <t>Giải thích/ngữ cảnh ngắn phù hợp Vocabulary, Grammar hoặc Listening.</t>
  </si>
  <si>
    <t>Retrieve</t>
  </si>
  <si>
    <t>Người học phải tự nhớ/trả lời; đây là bằng chứng quan trọng.</t>
  </si>
  <si>
    <t>Transfer</t>
  </si>
  <si>
    <t>Dùng kiến thức trong ngữ cảnh khác.</t>
  </si>
  <si>
    <t>Check</t>
  </si>
  <si>
    <t>Bài kiểm tra độc lập; server là nguồn quyết định điểm chính.</t>
  </si>
  <si>
    <t>Feedback + lưu evidence</t>
  </si>
  <si>
    <t>Giữ đúng first response, retry, hint, skip và điều kiện assessment.</t>
  </si>
  <si>
    <t>Kết thúc cycle</t>
  </si>
  <si>
    <t>Có điểm dừng rõ; người học chọn tiếp tục hoặc dừng.</t>
  </si>
  <si>
    <t>Tích lũy theo thời gian</t>
  </si>
  <si>
    <t>Review scheduler và analytics tích lũy; intelligence/risk/recommendation đến ở phase sau.</t>
  </si>
  <si>
    <t>3. NHỮNG LUẬT RẤT DỄ LÀM SAI</t>
  </si>
  <si>
    <t>Chủ đề</t>
  </si>
  <si>
    <t>Luật dễ hiểu</t>
  </si>
  <si>
    <t>First response</t>
  </si>
  <si>
    <t>Câu trả lời đầu tiên phải được giữ. Retry đúng sau đó không biến lịch sử thành 'đúng ngay từ đầu'.</t>
  </si>
  <si>
    <t>Hint</t>
  </si>
  <si>
    <t>Đúng sau hint = đúng có hỗ trợ (assisted), không phải đúng độc lập (unaided).</t>
  </si>
  <si>
    <t>Skip</t>
  </si>
  <si>
    <t>Skip được ghi lại nhưng KHÔNG phải completion, mastery hay progress.</t>
  </si>
  <si>
    <t>Bài kiểm tra độc lập; không có hint trước khi submit.</t>
  </si>
  <si>
    <t>Audio replay</t>
  </si>
  <si>
    <t>Telemetry ở client không chứng minh chắc chắn người dùng đã nghe bao nhiêu lần và không tự quyết điểm chuẩn.</t>
  </si>
  <si>
    <t>Content revision</t>
  </si>
  <si>
    <t>Nội dung đã publish là bất biến; muốn sửa phải tạo revision mới.</t>
  </si>
  <si>
    <t>Attempt</t>
  </si>
  <si>
    <t>Attempt phải pin đúng revision mà learner đã thấy lúc làm.</t>
  </si>
  <si>
    <t>Offline</t>
  </si>
  <si>
    <t>Business command và telemetry đi hai luồng riêng; retry không được tạo progress hai lần.</t>
  </si>
  <si>
    <t>Mastery / Risk</t>
  </si>
  <si>
    <t>Mastery và Risk là hai khái niệm khác nhau.</t>
  </si>
  <si>
    <t>Recommendation</t>
  </si>
  <si>
    <t>Prediction ≠ Decision ≠ Exposure ≠ Execution ≠ Outcome.</t>
  </si>
  <si>
    <t>ML OFF</t>
  </si>
  <si>
    <t>Khi ML/recommendation bị tắt, curriculum + review fallback vẫn phải tạo được chu kỳ học hợp lệ.</t>
  </si>
  <si>
    <t>4. ĐÃ CHỐT — KHÔNG TỰ Ý SỬA</t>
  </si>
  <si>
    <t>Nội dung đã chốt</t>
  </si>
  <si>
    <t>V3.2.0 completed baseline là source of truth của Phase 0.</t>
  </si>
  <si>
    <t>Stack</t>
  </si>
  <si>
    <t>Flutter Android-first cho learner; Flutter Web cho staff; FastAPI/Python; PostgreSQL; Object Storage.</t>
  </si>
  <si>
    <t>Architecture</t>
  </si>
  <si>
    <t>Modular monolith; API process + durable worker dùng cùng codebase.</t>
  </si>
  <si>
    <t>Authority</t>
  </si>
  <si>
    <t>Máy chủ quyết định canonical scoring, progress và permission.</t>
  </si>
  <si>
    <t>Command queue tách telemetry queue.</t>
  </si>
  <si>
    <t>Content</t>
  </si>
  <si>
    <t>Published content immutable/versioned; attempt/enrollment pin exact revision.</t>
  </si>
  <si>
    <t>Analytics time</t>
  </si>
  <si>
    <t>Phân biệt event time và knowledge/availability/source capture.</t>
  </si>
  <si>
    <t>Mastery khác Risk.</t>
  </si>
  <si>
    <t>Risk chỉ là input tùy chọn; ML/recommendation OFF thì app vẫn học được.</t>
  </si>
  <si>
    <t>Lifecycle</t>
  </si>
  <si>
    <t>Prediction / Decision / Exposure / Execution / Outcome tách riêng.</t>
  </si>
  <si>
    <t>Hạ tầng</t>
  </si>
  <si>
    <t>Không Kafka/Kubernetes/microservices/warehouse/external feature store nếu chưa có requirement/load thật.</t>
  </si>
  <si>
    <t>Database</t>
  </si>
  <si>
    <t>Một Mingo: DB chính `mingo`, DB test disposable `mingo_test`, role `mingo_app`; không chia DB theo phase.</t>
  </si>
  <si>
    <t>Quản trị phase</t>
  </si>
  <si>
    <t>Mỗi phase phải có deliverables + acceptance criteria + gate rồi mới qua phase sau.</t>
  </si>
  <si>
    <t>ML production</t>
  </si>
  <si>
    <t>OULAD/UCI chỉ là research baseline; production model phải đánh giá bằng product data.</t>
  </si>
  <si>
    <t>5. CHƯA CHỐT CUỐI — ĐÂY LÀ HYPOTHESIS/POLICY CÓ THỂ THAY ĐỔI</t>
  </si>
  <si>
    <t>Ý nghĩa</t>
  </si>
  <si>
    <t>Tên Mingo</t>
  </si>
  <si>
    <t>Đang là working name; chưa freeze final brand.</t>
  </si>
  <si>
    <t>~5 phút / cycle</t>
  </si>
  <si>
    <t>UX hypothesis; có thể đổi sau đo/pilot.</t>
  </si>
  <si>
    <t>1 retry</t>
  </si>
  <si>
    <t>Retry count là hypothesis; việc giữ first response là nguyên tắc mạnh hơn.</t>
  </si>
  <si>
    <t>2 lần nghe trong Check</t>
  </si>
  <si>
    <t>Hypothesis; server authority mới là invariant.</t>
  </si>
  <si>
    <t>Placement 6–9 câu</t>
  </si>
  <si>
    <t>Thiết kế provisional; không phải CEFR cut score cuối.</t>
  </si>
  <si>
    <t>Step-up threshold</t>
  </si>
  <si>
    <t>2 evidence + 1 Check + max 1 challenge là policy hypothesis.</t>
  </si>
  <si>
    <t>Final mastery formula</t>
  </si>
  <si>
    <t>Chờ Phase 9 — Learning Intelligence.</t>
  </si>
  <si>
    <t>Final risk label/model/weights</t>
  </si>
  <si>
    <t>Chờ Phase 10 + product data.</t>
  </si>
  <si>
    <t>Recommendation ranking weights</t>
  </si>
  <si>
    <t>Chờ Phase 11.</t>
  </si>
  <si>
    <t>6. V3.2 LÀ GÌ?</t>
  </si>
  <si>
    <t>Thông tin</t>
  </si>
  <si>
    <t>Giá trị</t>
  </si>
  <si>
    <t>Tên package</t>
  </si>
  <si>
    <t>ADAPTIVE_LANGUAGE_LEARNING_BASELINE_COMPLETED.zip</t>
  </si>
  <si>
    <t>Version</t>
  </si>
  <si>
    <t>3.2.0</t>
  </si>
  <si>
    <t>Vai trò</t>
  </si>
  <si>
    <t>Canonical Phase 0 architecture/contract baseline</t>
  </si>
  <si>
    <t>Trạng thái gốc</t>
  </si>
  <si>
    <t>Completed architecture and contract baseline; GO for core implementation; application runtime not validated</t>
  </si>
  <si>
    <t>Kết quả contract trong package</t>
  </si>
  <si>
    <t>115 PASS / 0 FAIL</t>
  </si>
  <si>
    <t>Kết quả SQL trong package</t>
  </si>
  <si>
    <t>22 PASS / 0 FAIL</t>
  </si>
  <si>
    <t>Completed package SHA-256</t>
  </si>
  <si>
    <t>1b4c9c10afad5245517d2593e5bbd98c7f233fc662c221ee8332cc386c83fe0a</t>
  </si>
  <si>
    <t>V3 source archive SHA-256</t>
  </si>
  <si>
    <t>7d46d057fab627d442a62aa5f33fbe9e63216ebbd6b04dc041e4505a7e4b6f55</t>
  </si>
  <si>
    <t>Hiện tại trong Mingo</t>
  </si>
  <si>
    <t>Original đã TÌM THẤY; canonical import/rerun vẫn đang chờ.</t>
  </si>
  <si>
    <t>V3.2 chứng minh</t>
  </si>
  <si>
    <t>Architecture/contracts/schemas/DDL/API/protocol invariants được định nghĩa và packaged verification đã pass.</t>
  </si>
  <si>
    <t>V3.2 chưa chứng minh</t>
  </si>
  <si>
    <t>FastAPI runtime thật, native PostgreSQL concurrency, Flutter device, hosted CI, production security/scale.</t>
  </si>
  <si>
    <t>Cách dùng</t>
  </si>
  <si>
    <t>Coder implement theo exact V3.2. Nếu phát hiện blocking defect thật → Issue/Change Request; không tự sửa business rule.</t>
  </si>
  <si>
    <t>MINGO — ROADMAP PHASE 0 → 17</t>
  </si>
  <si>
    <t>Status Phase 1 được lấy từ 04_CONG_VIEC. Checklist Phase 1 bên dưới cũng đọc trực tiếp trạng thái từng task để không phải cập nhật hai nơi.</t>
  </si>
  <si>
    <t>Tên phase</t>
  </si>
  <si>
    <t>Phải đạt trước khi đóng</t>
  </si>
  <si>
    <t>Ghi chú hiện tại</t>
  </si>
  <si>
    <t>Kiến trúc &amp; Hợp đồng hệ thống</t>
  </si>
  <si>
    <t>Chốt luật kiến trúc/contracts trước khi code.</t>
  </si>
  <si>
    <t>V3.2.0 + packaged 115 contract + 22 SQL evidence.</t>
  </si>
  <si>
    <t>XONG</t>
  </si>
  <si>
    <t>Phase 0 hoàn tất.</t>
  </si>
  <si>
    <t>Dựng backend/DB/worker/Flutter shells/CI và chứng minh runtime.</t>
  </si>
  <si>
    <t>V3.2 rerun + DB/worker + Flutter + CI + clean reproduction.</t>
  </si>
  <si>
    <t>Gate chưa pass.</t>
  </si>
  <si>
    <t>Hệ thống UX/UI sản phẩm</t>
  </si>
  <si>
    <t>Thiết kế user journey, IA, design system, screen specs.</t>
  </si>
  <si>
    <t>UX system được duyệt và trace tới PRD.</t>
  </si>
  <si>
    <t>TẠM HOÃN</t>
  </si>
  <si>
    <t>Chỉ đủ điều kiện khi Phase 1 PASS.</t>
  </si>
  <si>
    <t>Tài khoản, đăng nhập &amp; phân quyền</t>
  </si>
  <si>
    <t>Login/session/role/permission thật ở server.</t>
  </si>
  <si>
    <t>Authz/security tests pass.</t>
  </si>
  <si>
    <t>Nền tảng nội dung &amp; xuất bản</t>
  </si>
  <si>
    <t>Author/review/license/publish/versioned content.</t>
  </si>
  <si>
    <t>Publishing + provenance + immutable revisions.</t>
  </si>
  <si>
    <t>Lõi học tập &amp; đánh giá</t>
  </si>
  <si>
    <t>Objectives, attempts, Check, progress, review, placement.</t>
  </si>
  <si>
    <t>Learning business rules chạy đúng.</t>
  </si>
  <si>
    <t>Offline-first &amp; đồng bộ</t>
  </si>
  <si>
    <t>Học khi mất mạng; replay/idempotency/reconciliation.</t>
  </si>
  <si>
    <t>Offline adversarial tests pass.</t>
  </si>
  <si>
    <t>Worker bền vững &amp; xử lý nền</t>
  </si>
  <si>
    <t>Jobs/retry/fencing/scheduling/projections.</t>
  </si>
  <si>
    <t>Worker failure/race tests pass.</t>
  </si>
  <si>
    <t>Phân tích học tập &amp; dữ liệu</t>
  </si>
  <si>
    <t>Event model, point-in-time, source capture, projections.</t>
  </si>
  <si>
    <t>No leakage + telemetry quality.</t>
  </si>
  <si>
    <t>Learning Intelligence</t>
  </si>
  <si>
    <t>Mastery/knowledge state/adaptive path dựa product evidence.</t>
  </si>
  <si>
    <t>Evaluation contract + fallback.</t>
  </si>
  <si>
    <t>Không freeze final mastery trước phase này.</t>
  </si>
  <si>
    <t>Production ML / Dự đoán rủi ro sớm</t>
  </si>
  <si>
    <t>Risk prediction dùng product data.</t>
  </si>
  <si>
    <t>Validated target/horizon/model; no leakage.</t>
  </si>
  <si>
    <t>Khuyến nghị &amp; can thiệp</t>
  </si>
  <si>
    <t>Decision/reason/exposure/execution/outcome.</t>
  </si>
  <si>
    <t>Auditable recommendation + fallback.</t>
  </si>
  <si>
    <t>Sản phẩm cho Instructor / Advisor / Admin</t>
  </si>
  <si>
    <t>Staff workflows hoàn chỉnh.</t>
  </si>
  <si>
    <t>Permissioned staff product.</t>
  </si>
  <si>
    <t>Gia cố QA / Bảo mật / Privacy / Hiệu năng</t>
  </si>
  <si>
    <t>Security/privacy/performance/backup/observability.</t>
  </si>
  <si>
    <t>Production hardening gate.</t>
  </si>
  <si>
    <t>Internal Alpha</t>
  </si>
  <si>
    <t>Đội nội bộ dùng end-to-end.</t>
  </si>
  <si>
    <t>Critical flows ổn định.</t>
  </si>
  <si>
    <t>Closed Beta / Pilot</t>
  </si>
  <si>
    <t>Nhóm user nhỏ dùng thật (~5 theo nguồn lực).</t>
  </si>
  <si>
    <t>Usability/trust/reliability evidence.</t>
  </si>
  <si>
    <t>Không claim causal efficacy.</t>
  </si>
  <si>
    <t>Production Launch</t>
  </si>
  <si>
    <t>Public release có rollback/monitoring/support.</t>
  </si>
  <si>
    <t>Launch readiness pass.</t>
  </si>
  <si>
    <t>Growth / Experimentation / Continuous Learning</t>
  </si>
  <si>
    <t>Experiment, content growth, model/policy improvement.</t>
  </si>
  <si>
    <t>Continuous measurement/governance.</t>
  </si>
  <si>
    <t>PHASE 1 — CHECKLIST ĐỒNG BỘ TỪ TASK</t>
  </si>
  <si>
    <t>Việc cần làm</t>
  </si>
  <si>
    <t>PASS khi</t>
  </si>
  <si>
    <t>Phụ thuộc</t>
  </si>
  <si>
    <t>Import exact original V3.2 completed package vào repo + provenance.</t>
  </si>
  <si>
    <t>Exact package giữ nguyên; hash/provenance rõ.</t>
  </si>
  <si>
    <t>P1-T001</t>
  </si>
  <si>
    <t>Rerun original contract suite.</t>
  </si>
  <si>
    <t>115/115 PASS.</t>
  </si>
  <si>
    <t>P1-T002</t>
  </si>
  <si>
    <t>Bước 1</t>
  </si>
  <si>
    <t>Rerun original SQL suite.</t>
  </si>
  <si>
    <t>22/22 PASS.</t>
  </si>
  <si>
    <t>P1-T003</t>
  </si>
  <si>
    <t>Python</t>
  </si>
  <si>
    <t>Rerun backend bằng Python 3.12 canonical.</t>
  </si>
  <si>
    <t>Install/Ruff/tests/API smoke PASS.</t>
  </si>
  <si>
    <t>P1-T004</t>
  </si>
  <si>
    <t>Có DB chính mingo + mingo_test + role mingo_app.</t>
  </si>
  <si>
    <t>Kết nối an toàn; không commit secret.</t>
  </si>
  <si>
    <t>P1-T005</t>
  </si>
  <si>
    <t>Run migration + 6 integration/concurrency tests.</t>
  </si>
  <si>
    <t>6 PASS / 0 fail / 0 skip.</t>
  </si>
  <si>
    <t>P1-T006</t>
  </si>
  <si>
    <t>Bước 5</t>
  </si>
  <si>
    <t>API/Worker</t>
  </si>
  <si>
    <t>Boot API + worker với DB khỏe.</t>
  </si>
  <si>
    <t>live=200, ready=200, worker probe PASS.</t>
  </si>
  <si>
    <t>Bước 6</t>
  </si>
  <si>
    <t>Flutter</t>
  </si>
  <si>
    <t>Install Flutter 3.32.8 + Android tooling.</t>
  </si>
  <si>
    <t>flutter doctor đủ điều kiện learner.</t>
  </si>
  <si>
    <t>P1-T008</t>
  </si>
  <si>
    <t>Flutter learner</t>
  </si>
  <si>
    <t>Analyze/test/build + actual Android boot.</t>
  </si>
  <si>
    <t>App mở thật trên emulator/device.</t>
  </si>
  <si>
    <t>P1-T009</t>
  </si>
  <si>
    <t>Bước 8</t>
  </si>
  <si>
    <t>Flutter staff</t>
  </si>
  <si>
    <t>Analyze/test/build + actual Web boot.</t>
  </si>
  <si>
    <t>Web app mở thật.</t>
  </si>
  <si>
    <t>P1-T010</t>
  </si>
  <si>
    <t>CI</t>
  </si>
  <si>
    <t>Hosted remote + workflow clean checkout.</t>
  </si>
  <si>
    <t>Backend + Flutter + V3.2 jobs xanh.</t>
  </si>
  <si>
    <t>Clean reproduce</t>
  </si>
  <si>
    <t>Clone sạch và rerun full stack.</t>
  </si>
  <si>
    <t>Không dựa cache/local hidden state.</t>
  </si>
  <si>
    <t>Bước 1–11</t>
  </si>
  <si>
    <t>CÔNG VIỆC TEAM — NGUỒN TRẠNG THÁI HẰNG NGÀY</t>
  </si>
  <si>
    <t>Đây là sheet team cập nhật thường xuyên. Không sửa mô tả công việc gốc chỉ để báo tiến độ; hãy cập nhật Trạng thái, Phụ trách, Người kiểm tra, Hạn, Việc tiếp theo, Bằng chứng và Ghi chú.</t>
  </si>
  <si>
    <t>Task ID</t>
  </si>
  <si>
    <t>Công việc</t>
  </si>
  <si>
    <t>Ưu tiên</t>
  </si>
  <si>
    <t>Phụ trách</t>
  </si>
  <si>
    <t>Người kiểm tra</t>
  </si>
  <si>
    <t>Hạn hoàn thành</t>
  </si>
  <si>
    <t>Cập nhật cuối</t>
  </si>
  <si>
    <t>Bằng chứng</t>
  </si>
  <si>
    <t>Ghi chú team</t>
  </si>
  <si>
    <t>P1</t>
  </si>
  <si>
    <t>Import V3.2 original vào canonical repo</t>
  </si>
  <si>
    <t>P0</t>
  </si>
  <si>
    <t>ĐANG LÀM</t>
  </si>
  <si>
    <t>Giữ byte-exact + provenance</t>
  </si>
  <si>
    <t>Original package đã tìm thấy.</t>
  </si>
  <si>
    <t>Rerun 115 contract checks</t>
  </si>
  <si>
    <t>CHỜ</t>
  </si>
  <si>
    <t>Run exact validator</t>
  </si>
  <si>
    <t>Rerun 22 SQL checks</t>
  </si>
  <si>
    <t>Run exact SQL suite</t>
  </si>
  <si>
    <t>Backend</t>
  </si>
  <si>
    <t>Python 3.12 full backend verification</t>
  </si>
  <si>
    <t>Install/verify Python 3.12 + rerun</t>
  </si>
  <si>
    <t>3.14.7 result kept as compatibility evidence only.</t>
  </si>
  <si>
    <t>Provision/access mingo + mingo_test</t>
  </si>
  <si>
    <t>BỊ CHẶN</t>
  </si>
  <si>
    <t>Cần PostgreSQL authenticated role/session</t>
  </si>
  <si>
    <t>Không lưu password trong workbook.</t>
  </si>
  <si>
    <t>Migration + six DB tests</t>
  </si>
  <si>
    <t>Run migrations + DB suite on mingo_test</t>
  </si>
  <si>
    <t>ready=200 + worker probe</t>
  </si>
  <si>
    <t>Boot API/worker và lưu log/HTTP evidence</t>
  </si>
  <si>
    <t>Install pinned Flutter 3.32.8 + Android tooling</t>
  </si>
  <si>
    <t>Install toolchain + flutter doctor</t>
  </si>
  <si>
    <t>Analyze/test/build + actual Android boot</t>
  </si>
  <si>
    <t>Run trên emulator/device; lưu bằng chứng</t>
  </si>
  <si>
    <t>Analyze/test/build + actual Web boot</t>
  </si>
  <si>
    <t>Run Chrome; lưu bằng chứng</t>
  </si>
  <si>
    <t>Hosted CI green</t>
  </si>
  <si>
    <t>Cần hosted Git remote; push main và chạy workflow</t>
  </si>
  <si>
    <t>QA</t>
  </si>
  <si>
    <t>P1-T001..P1-T011</t>
  </si>
  <si>
    <t>Fresh clone; không dùng cache/local hidden state</t>
  </si>
  <si>
    <t>P2-T001</t>
  </si>
  <si>
    <t>P2</t>
  </si>
  <si>
    <t>UX/UI</t>
  </si>
  <si>
    <t>Chỉ lập Phase 2 contract sau khi Phase 1 PASS</t>
  </si>
  <si>
    <t>Phase 1 XONG</t>
  </si>
  <si>
    <t>Không start implementation sớm</t>
  </si>
  <si>
    <t>Cách cập nhật: 1) chọn Trạng thái → 2) điền Phụ trách/Người kiểm tra → 3) ghi Việc tiếp theo → 4) khi XONG phải điền Bằng chứng → 5) cập nhật ngày Cập nhật cuối.</t>
  </si>
  <si>
    <t>VẤN ĐỀ / ĐỀ NGHỊ THAY ĐỔI / GHI CHÚ</t>
  </si>
  <si>
    <t>Phân biệt rõ: VẤN ĐỀ = lỗi/blocker kỹ thuật; ĐỀ NGHỊ THAY ĐỔI = muốn đổi nội dung đã chốt; GHI CHÚ = thảo luận/action bình thường.</t>
  </si>
  <si>
    <t>A. VẤN ĐỀ (ISSUE)</t>
  </si>
  <si>
    <t>ID</t>
  </si>
  <si>
    <t>Tên vấn đề</t>
  </si>
  <si>
    <t>Mô tả</t>
  </si>
  <si>
    <t>Task liên quan</t>
  </si>
  <si>
    <t>Cách xử lý</t>
  </si>
  <si>
    <t>Bằng chứng / Commit</t>
  </si>
  <si>
    <t>II-01</t>
  </si>
  <si>
    <t>Original package đã tìm được nhưng chưa import/rerun trong canonical repo.</t>
  </si>
  <si>
    <t>TÌM THẤY / CHỜ CHẠY LẠI</t>
  </si>
  <si>
    <t>Import exact package + rerun 115+22.</t>
  </si>
  <si>
    <t>II-02</t>
  </si>
  <si>
    <t>Hypothesis vs rule đã chốt</t>
  </si>
  <si>
    <t>MVP learning hypothesis có thể bị hiểu nhầm thành architecture/scoring invariant.</t>
  </si>
  <si>
    <t>MỞ</t>
  </si>
  <si>
    <t>Giữ phân loại rõ ở 02_SAN_PHAM; thay rule nền tảng phải có CR.</t>
  </si>
  <si>
    <t>II-03</t>
  </si>
  <si>
    <t>Listening replay authority</t>
  </si>
  <si>
    <t>Client playback telemetry không chứng minh true listen/canonical score.</t>
  </si>
  <si>
    <t>Map exact V3.2 contract; giữ server authority.</t>
  </si>
  <si>
    <t>II-04</t>
  </si>
  <si>
    <t>PostgreSQL runtime</t>
  </si>
  <si>
    <t>DB tests/migrations/worker/readiness chưa proven.</t>
  </si>
  <si>
    <t>P1-T005..T007</t>
  </si>
  <si>
    <t>Có DB access rồi chạy runtime verification.</t>
  </si>
  <si>
    <t>II-05</t>
  </si>
  <si>
    <t>Flutter runtime</t>
  </si>
  <si>
    <t>Chưa có toolchain/actual boot evidence.</t>
  </si>
  <si>
    <t>Install pinned Flutter/Android + run.</t>
  </si>
  <si>
    <t>II-06</t>
  </si>
  <si>
    <t>Chưa có hosted remote/run evidence.</t>
  </si>
  <si>
    <t>Configure remote and run workflow.</t>
  </si>
  <si>
    <t>II-07</t>
  </si>
  <si>
    <t>Old package layout mismatch</t>
  </si>
  <si>
    <t>Source/full-pack path mismatch trong handoff cũ.</t>
  </si>
  <si>
    <t>ĐÃ GIẢI QUYẾT</t>
  </si>
  <si>
    <t>Canonical layout/provenance đã xử lý.</t>
  </si>
  <si>
    <t>fc6e40e</t>
  </si>
  <si>
    <t>II-08</t>
  </si>
  <si>
    <t>Detached HEAD bundle</t>
  </si>
  <si>
    <t>Bundle cũ clone ra detached HEAD.</t>
  </si>
  <si>
    <t>Canonical named main bundle đã xử lý.</t>
  </si>
  <si>
    <t>II-09</t>
  </si>
  <si>
    <t>Windows object storage</t>
  </si>
  <si>
    <t>Windows path/fsync portability issue.</t>
  </si>
  <si>
    <t>Fix + rerun evidence.</t>
  </si>
  <si>
    <t>51b741e</t>
  </si>
  <si>
    <t>B. ĐỀ NGHỊ THAY ĐỔI (CHANGE REQUEST) — chỉ dùng khi muốn đổi nội dung ĐÃ CHỐT</t>
  </si>
  <si>
    <t>CR ID</t>
  </si>
  <si>
    <t>Ngày</t>
  </si>
  <si>
    <t>Người đề nghị</t>
  </si>
  <si>
    <t>Nội dung muốn đổi</t>
  </si>
  <si>
    <t>Lý do</t>
  </si>
  <si>
    <t>Ảnh hưởng</t>
  </si>
  <si>
    <t>Kế hoạch test/migration</t>
  </si>
  <si>
    <t>Người duyệt</t>
  </si>
  <si>
    <t>C. GHI CHÚ / ACTION</t>
  </si>
  <si>
    <t>Note ID</t>
  </si>
  <si>
    <t>Nội dung</t>
  </si>
  <si>
    <t>Hạn</t>
  </si>
  <si>
    <t>Liên kết</t>
  </si>
  <si>
    <t>NOTE-001</t>
  </si>
  <si>
    <t>Original completed package đã được cung cấp sau khi trước đó repo không có.</t>
  </si>
  <si>
    <t>Import/rerun original suites.</t>
  </si>
  <si>
    <t>P1-T001 / II-01</t>
  </si>
  <si>
    <t>NOTE-002</t>
  </si>
  <si>
    <t>Không chia DB theo phase.</t>
  </si>
  <si>
    <t>Dùng mingo + mingo_test + role mingo_app.</t>
  </si>
  <si>
    <t>Database decision</t>
  </si>
  <si>
    <t>BẰNG CHỨNG TEST / RUNTIME / CI</t>
  </si>
  <si>
    <t>PASS LỊCH SỬ = kết quả có trong package cũ. PASS = đã có bằng chứng trong phạm vi hiện tại. CHỜ CHẠY = cần rerun. BỊ CHẶN = chưa thể chạy vì dependency.</t>
  </si>
  <si>
    <t>Khu vực</t>
  </si>
  <si>
    <t>Kiểm tra</t>
  </si>
  <si>
    <t>Kết quả quan sát</t>
  </si>
  <si>
    <t>Nguồn</t>
  </si>
  <si>
    <t>Phạm vi / Giới hạn</t>
  </si>
  <si>
    <t>E01</t>
  </si>
  <si>
    <t>Package provenance</t>
  </si>
  <si>
    <t>Exact completed package + hash lineage đã tìm thấy.</t>
  </si>
  <si>
    <t>PASS</t>
  </si>
  <si>
    <t>Artifact audit</t>
  </si>
  <si>
    <t>Phase 0 provenance.</t>
  </si>
  <si>
    <t>E02</t>
  </si>
  <si>
    <t>Contract packaged validation</t>
  </si>
  <si>
    <t>115 PASS / 0 FAIL trong original package.</t>
  </si>
  <si>
    <t>PASS LỊCH SỬ</t>
  </si>
  <si>
    <t>V3.2 package</t>
  </si>
  <si>
    <t>Không đồng nghĩa đã rerun trong canonical Mingo.</t>
  </si>
  <si>
    <t>E03</t>
  </si>
  <si>
    <t>SQL packaged validation</t>
  </si>
  <si>
    <t>22 PASS / 0 FAIL trong original package.</t>
  </si>
  <si>
    <t>PGlite packaged evidence; native concurrency là gate khác.</t>
  </si>
  <si>
    <t>E04</t>
  </si>
  <si>
    <t>Canonical contract rerun</t>
  </si>
  <si>
    <t>Chưa chạy exact 115 checks trong canonical Mingo.</t>
  </si>
  <si>
    <t>CHỜ CHẠY</t>
  </si>
  <si>
    <t>Cần import original + requirements.</t>
  </si>
  <si>
    <t>E05</t>
  </si>
  <si>
    <t>Canonical SQL rerun</t>
  </si>
  <si>
    <t>Chưa chạy exact 22 SQL checks trong canonical Mingo.</t>
  </si>
  <si>
    <t>Cần import original + npm setup.</t>
  </si>
  <si>
    <t>E06</t>
  </si>
  <si>
    <t>Windows focused verification</t>
  </si>
  <si>
    <t>Locked install + Ruff + 9 tests pass.</t>
  </si>
  <si>
    <t>Mingo evidence</t>
  </si>
  <si>
    <t>6 DB + 1 symlink skipped; final Python 3.12 rerun pending.</t>
  </si>
  <si>
    <t>E07</t>
  </si>
  <si>
    <t>API</t>
  </si>
  <si>
    <t>Liveness</t>
  </si>
  <si>
    <t>HTTP 200.</t>
  </si>
  <si>
    <t>API process boot proven.</t>
  </si>
  <si>
    <t>E08</t>
  </si>
  <si>
    <t>Readiness</t>
  </si>
  <si>
    <t>HTTP 503 khi chưa có DB.</t>
  </si>
  <si>
    <t>Phải trở thành 200 khi DB healthy.</t>
  </si>
  <si>
    <t>E09</t>
  </si>
  <si>
    <t>Clean clone</t>
  </si>
  <si>
    <t>Backend-only</t>
  </si>
  <si>
    <t>Backend clean clone verification pass.</t>
  </si>
  <si>
    <t>Không phải full-stack reproduction.</t>
  </si>
  <si>
    <t>E10</t>
  </si>
  <si>
    <t>6 integration/concurrency tests</t>
  </si>
  <si>
    <t>Chưa chạy trên disposable test DB thật.</t>
  </si>
  <si>
    <t>Cần mingo_test.</t>
  </si>
  <si>
    <t>E11</t>
  </si>
  <si>
    <t>Worker</t>
  </si>
  <si>
    <t>DB probe/runtime</t>
  </si>
  <si>
    <t>Chưa proven.</t>
  </si>
  <si>
    <t>Cần DB.</t>
  </si>
  <si>
    <t>E12</t>
  </si>
  <si>
    <t>Analyze/test/build/Android boot</t>
  </si>
  <si>
    <t>Chưa chạy.</t>
  </si>
  <si>
    <t>Toolchain chưa có.</t>
  </si>
  <si>
    <t>E13</t>
  </si>
  <si>
    <t>Analyze/test/build/Web boot</t>
  </si>
  <si>
    <t>E14</t>
  </si>
  <si>
    <t>Workflow execution</t>
  </si>
  <si>
    <t>Chưa có hosted run.</t>
  </si>
  <si>
    <t>Chưa có remote.</t>
  </si>
  <si>
    <t>E15</t>
  </si>
  <si>
    <t>Full stack</t>
  </si>
  <si>
    <t>Chưa verify.</t>
  </si>
  <si>
    <t>Cần các gate trước.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</si>
</sst>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name val="Carlito"/>
    </font>
    <font>
      <sz val="11"/>
      <color rgb="FF102D50"/>
      <name val="Arial"/>
    </font>
    <font>
      <b/>
      <sz val="20"/>
      <color rgb="FF102D50"/>
      <name val="Arial"/>
    </font>
    <font>
      <sz val="10"/>
      <color rgb="FF63758D"/>
      <name val="Arial"/>
    </font>
    <font>
      <b/>
      <sz val="18"/>
      <color rgb="FF102D50"/>
      <name val="Arial"/>
    </font>
    <font>
      <b/>
      <sz val="12"/>
      <color rgb="FF102D50"/>
      <name val="Arial"/>
    </font>
    <font>
      <b/>
      <sz val="11"/>
      <color rgb="FFFFFFFF"/>
      <name val="Arial"/>
    </font>
    <font>
      <b/>
      <sz val="12"/>
      <color rgb="FF1375D6"/>
      <name val="Arial"/>
    </font>
    <font>
      <b/>
      <sz val="11"/>
      <color rgb="FF102D50"/>
      <name val="Arial"/>
    </font>
    <font>
      <b/>
      <sz val="30"/>
      <color rgb="FF102D50"/>
      <name val="Arial"/>
    </font>
    <font>
      <sz val="12"/>
      <color rgb="FF63758D"/>
      <name val="Arial"/>
    </font>
    <font>
      <b/>
      <sz val="15"/>
      <color rgb="FF1375D6"/>
      <name val="Arial"/>
    </font>
    <font>
      <sz val="11"/>
      <color rgb="FF63758D"/>
      <name val="Arial"/>
    </font>
    <font>
      <b/>
      <sz val="11"/>
      <color rgb="FF1375D6"/>
      <name val="Arial"/>
    </font>
    <font>
      <b/>
      <sz val="15"/>
      <color rgb="FF12805C"/>
      <name val="Arial"/>
    </font>
    <font>
      <b/>
      <sz val="11"/>
      <color rgb="FF12805C"/>
      <name val="Arial"/>
    </font>
    <font>
      <b/>
      <sz val="15"/>
      <color rgb="FF7257D9"/>
      <name val="Arial"/>
    </font>
    <font>
      <b/>
      <sz val="11"/>
      <color rgb="FF7257D9"/>
      <name val="Arial"/>
    </font>
    <font>
      <b/>
      <sz val="15"/>
      <color rgb="FFD48115"/>
      <name val="Arial"/>
    </font>
    <font>
      <b/>
      <sz val="11"/>
      <color rgb="FFD48115"/>
      <name val="Arial"/>
    </font>
    <font>
      <b/>
      <sz val="15"/>
      <color rgb="FFC4404A"/>
      <name val="Arial"/>
    </font>
    <font>
      <b/>
      <sz val="11"/>
      <color rgb="FFC4404A"/>
      <name val="Arial"/>
    </font>
    <font>
      <b/>
      <sz val="15"/>
      <color rgb="FF527398"/>
      <name val="Arial"/>
    </font>
    <font>
      <b/>
      <sz val="11"/>
      <color rgb="FF527398"/>
      <name val="Arial"/>
    </font>
    <font>
      <b/>
      <sz val="14"/>
      <color rgb="FF102D50"/>
      <name val="Arial"/>
    </font>
    <font>
      <sz val="10"/>
      <color rgb="FF1375D6"/>
      <name val="Arial"/>
    </font>
    <font>
      <b/>
      <sz val="24"/>
      <color rgb="FF102D50"/>
      <name val="Arial"/>
    </font>
    <font>
      <b/>
      <sz val="10"/>
      <color rgb="FF63758D"/>
      <name val="Arial"/>
    </font>
    <font>
      <b/>
      <sz val="26"/>
      <color rgb="FF1375D6"/>
      <name val="Arial"/>
    </font>
    <font>
      <b/>
      <sz val="26"/>
      <color rgb="FF12805C"/>
      <name val="Arial"/>
    </font>
    <font>
      <b/>
      <sz val="26"/>
      <color rgb="FFC4404A"/>
      <name val="Arial"/>
    </font>
    <font>
      <b/>
      <sz val="13"/>
      <color rgb="FF102D50"/>
      <name val="Arial"/>
    </font>
    <font>
      <sz val="12"/>
      <color rgb="FF102D50"/>
      <name val="Arial"/>
    </font>
    <font>
      <b/>
      <sz val="10"/>
      <color rgb="FF102D50"/>
      <name val="Arial"/>
    </font>
  </fonts>
  <fills count="9">
    <fill>
      <patternFill patternType="none"/>
    </fill>
    <fill>
      <patternFill patternType="gray125"/>
    </fill>
    <fill>
      <patternFill patternType="solid">
        <fgColor rgb="FFFFFFFF"/>
      </patternFill>
    </fill>
    <fill>
      <patternFill patternType="solid">
        <fgColor rgb="FFF3F7FC"/>
      </patternFill>
    </fill>
    <fill>
      <patternFill patternType="solid">
        <fgColor rgb="FFEAF2FC"/>
      </patternFill>
    </fill>
    <fill>
      <patternFill patternType="solid">
        <fgColor rgb="FF102D50"/>
      </patternFill>
    </fill>
    <fill>
      <patternFill patternType="solid">
        <fgColor rgb="FFFFF8E9"/>
      </patternFill>
    </fill>
    <fill>
      <patternFill patternType="solid">
        <fgColor rgb="FFE6EFFB"/>
      </patternFill>
    </fill>
    <fill>
      <patternFill patternType="solid">
        <fgColor rgb="FFECF3FB"/>
      </patternFill>
    </fill>
  </fills>
  <borders count="15">
    <border>
      <left/>
      <right/>
      <top/>
      <bottom/>
      <diagonal/>
    </border>
    <border>
      <left/>
      <right/>
      <top/>
      <bottom style="thin">
        <color rgb="FF12805C"/>
      </bottom>
      <diagonal/>
    </border>
    <border>
      <left/>
      <right/>
      <top/>
      <bottom style="thin">
        <color rgb="FFDDE7F2"/>
      </bottom>
      <diagonal/>
    </border>
    <border>
      <left/>
      <right/>
      <top/>
      <bottom style="thin">
        <color rgb="FFEDF2F8"/>
      </bottom>
      <diagonal/>
    </border>
    <border>
      <left/>
      <right/>
      <top/>
      <bottom style="thin">
        <color rgb="FF7257D9"/>
      </bottom>
      <diagonal/>
    </border>
    <border>
      <left/>
      <right/>
      <top/>
      <bottom style="thin">
        <color rgb="FFD48115"/>
      </bottom>
      <diagonal/>
    </border>
    <border>
      <left/>
      <right/>
      <top/>
      <bottom style="thin">
        <color rgb="FFC4404A"/>
      </bottom>
      <diagonal/>
    </border>
    <border>
      <left/>
      <right/>
      <top/>
      <bottom style="thin">
        <color rgb="FF527398"/>
      </bottom>
      <diagonal/>
    </border>
    <border>
      <left style="thin">
        <color rgb="FFDDE7F2"/>
      </left>
      <right/>
      <top style="thin">
        <color rgb="FFDDE7F2"/>
      </top>
      <bottom/>
      <diagonal/>
    </border>
    <border>
      <left/>
      <right/>
      <top style="thin">
        <color rgb="FFDDE7F2"/>
      </top>
      <bottom/>
      <diagonal/>
    </border>
    <border>
      <left/>
      <right style="thin">
        <color rgb="FFDDE7F2"/>
      </right>
      <top style="thin">
        <color rgb="FFDDE7F2"/>
      </top>
      <bottom/>
      <diagonal/>
    </border>
    <border>
      <left style="thin">
        <color rgb="FFDDE7F2"/>
      </left>
      <right/>
      <top/>
      <bottom/>
      <diagonal/>
    </border>
    <border>
      <left/>
      <right style="thin">
        <color rgb="FFDDE7F2"/>
      </right>
      <top/>
      <bottom/>
      <diagonal/>
    </border>
    <border>
      <left style="thin">
        <color rgb="FFDDE7F2"/>
      </left>
      <right/>
      <top/>
      <bottom style="thin">
        <color rgb="FFDDE7F2"/>
      </bottom>
      <diagonal/>
    </border>
    <border>
      <left/>
      <right style="thin">
        <color rgb="FFDDE7F2"/>
      </right>
      <top/>
      <bottom style="thin">
        <color rgb="FFDDE7F2"/>
      </bottom>
      <diagonal/>
    </border>
  </borders>
  <cellStyleXfs count="1">
    <xf numFmtId="0" fontId="0" fillId="0" borderId="0"/>
  </cellStyleXfs>
  <cellXfs count="136">
    <xf numFmtId="0" fontId="0" fillId="0" borderId="0" xfId="0"/>
    <xf numFmtId="0" fontId="1" fillId="2" borderId="0" xfId="0" applyFont="1" applyFill="1" applyAlignment="1">
      <alignment vertical="center" wrapText="1"/>
    </xf>
    <xf numFmtId="0" fontId="2" fillId="2" borderId="0" xfId="0" applyFont="1" applyFill="1" applyAlignment="1">
      <alignment vertical="center" wrapText="1"/>
    </xf>
    <xf numFmtId="0" fontId="3" fillId="2" borderId="0" xfId="0" applyFont="1" applyFill="1" applyAlignment="1">
      <alignment vertical="center" wrapText="1"/>
    </xf>
    <xf numFmtId="0" fontId="1" fillId="2" borderId="1" xfId="0" applyFont="1" applyFill="1" applyBorder="1" applyAlignment="1">
      <alignment vertical="center" wrapText="1"/>
    </xf>
    <xf numFmtId="0" fontId="1" fillId="3" borderId="0" xfId="0" applyFont="1" applyFill="1" applyAlignment="1">
      <alignment vertical="center" wrapText="1"/>
    </xf>
    <xf numFmtId="0" fontId="6" fillId="5" borderId="2" xfId="0" applyFont="1" applyFill="1" applyBorder="1" applyAlignment="1">
      <alignment horizontal="center" vertical="center" wrapText="1"/>
    </xf>
    <xf numFmtId="0" fontId="1" fillId="2" borderId="3" xfId="0" applyFont="1" applyFill="1" applyBorder="1" applyAlignment="1">
      <alignment vertical="center" wrapText="1"/>
    </xf>
    <xf numFmtId="0" fontId="1" fillId="3" borderId="3" xfId="0" applyFont="1" applyFill="1" applyBorder="1" applyAlignment="1">
      <alignment vertical="center" wrapText="1"/>
    </xf>
    <xf numFmtId="0" fontId="7" fillId="2"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8" fillId="3" borderId="3" xfId="0" applyFont="1" applyFill="1" applyBorder="1" applyAlignment="1">
      <alignment vertical="center" wrapText="1"/>
    </xf>
    <xf numFmtId="0" fontId="8" fillId="2" borderId="3" xfId="0" applyFont="1" applyFill="1" applyBorder="1" applyAlignment="1">
      <alignment vertical="center" wrapText="1"/>
    </xf>
    <xf numFmtId="0" fontId="1" fillId="2" borderId="4" xfId="0" applyFont="1" applyFill="1" applyBorder="1" applyAlignment="1">
      <alignment vertical="center" wrapText="1"/>
    </xf>
    <xf numFmtId="0" fontId="1" fillId="2" borderId="3"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5" xfId="0" applyFont="1" applyFill="1" applyBorder="1" applyAlignment="1">
      <alignment vertical="center" wrapText="1"/>
    </xf>
    <xf numFmtId="0" fontId="1" fillId="6" borderId="3" xfId="0" applyFont="1" applyFill="1" applyBorder="1" applyAlignment="1">
      <alignment vertical="center" wrapText="1"/>
    </xf>
    <xf numFmtId="14" fontId="1" fillId="6" borderId="3" xfId="0" applyNumberFormat="1" applyFont="1" applyFill="1" applyBorder="1" applyAlignment="1">
      <alignment vertical="center" wrapText="1"/>
    </xf>
    <xf numFmtId="14" fontId="1" fillId="2" borderId="3" xfId="0" applyNumberFormat="1" applyFont="1" applyFill="1" applyBorder="1" applyAlignment="1">
      <alignment vertical="center" wrapText="1"/>
    </xf>
    <xf numFmtId="14" fontId="1" fillId="3" borderId="3" xfId="0" applyNumberFormat="1" applyFont="1" applyFill="1" applyBorder="1" applyAlignment="1">
      <alignment vertical="center" wrapText="1"/>
    </xf>
    <xf numFmtId="14" fontId="1" fillId="2" borderId="0" xfId="0" applyNumberFormat="1" applyFont="1" applyFill="1" applyAlignment="1">
      <alignment vertical="center" wrapText="1"/>
    </xf>
    <xf numFmtId="14" fontId="0" fillId="0" borderId="0" xfId="0" applyNumberFormat="1"/>
    <xf numFmtId="0" fontId="0" fillId="0" borderId="0" xfId="0" applyAlignment="1">
      <alignment horizontal="center"/>
    </xf>
    <xf numFmtId="0" fontId="1" fillId="2" borderId="6" xfId="0" applyFont="1" applyFill="1" applyBorder="1" applyAlignment="1">
      <alignment vertical="center" wrapText="1"/>
    </xf>
    <xf numFmtId="14" fontId="6" fillId="5" borderId="2"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9" fillId="3" borderId="0" xfId="0" applyFont="1" applyFill="1" applyAlignment="1">
      <alignment vertical="center" wrapText="1"/>
    </xf>
    <xf numFmtId="0" fontId="10" fillId="3" borderId="0" xfId="0" applyFont="1" applyFill="1" applyAlignment="1">
      <alignment vertical="center" wrapText="1"/>
    </xf>
    <xf numFmtId="0" fontId="1" fillId="7" borderId="0" xfId="0" applyFont="1" applyFill="1" applyAlignment="1">
      <alignment vertical="center" wrapText="1"/>
    </xf>
    <xf numFmtId="0" fontId="11" fillId="2" borderId="8" xfId="0" applyFont="1" applyFill="1" applyBorder="1" applyAlignment="1">
      <alignment vertical="center" wrapText="1"/>
    </xf>
    <xf numFmtId="0" fontId="11" fillId="2" borderId="9" xfId="0" applyFont="1" applyFill="1" applyBorder="1" applyAlignment="1">
      <alignment vertical="center" wrapText="1"/>
    </xf>
    <xf numFmtId="0" fontId="11" fillId="2" borderId="10" xfId="0" applyFont="1" applyFill="1" applyBorder="1" applyAlignment="1">
      <alignment vertical="center" wrapText="1"/>
    </xf>
    <xf numFmtId="0" fontId="12" fillId="2" borderId="11" xfId="0" applyFont="1" applyFill="1" applyBorder="1" applyAlignment="1">
      <alignment vertical="center" wrapText="1"/>
    </xf>
    <xf numFmtId="0" fontId="12" fillId="2" borderId="0" xfId="0" applyFont="1" applyFill="1" applyAlignment="1">
      <alignment vertical="center" wrapText="1"/>
    </xf>
    <xf numFmtId="0" fontId="12" fillId="2" borderId="12" xfId="0" applyFont="1" applyFill="1" applyBorder="1" applyAlignment="1">
      <alignment vertical="center" wrapText="1"/>
    </xf>
    <xf numFmtId="0" fontId="3" fillId="2" borderId="11" xfId="0" applyFont="1" applyFill="1" applyBorder="1" applyAlignment="1">
      <alignment vertical="center" wrapText="1"/>
    </xf>
    <xf numFmtId="0" fontId="3" fillId="2" borderId="0" xfId="0" applyFont="1" applyFill="1" applyAlignment="1">
      <alignment vertical="center" wrapText="1"/>
    </xf>
    <xf numFmtId="0" fontId="3" fillId="2" borderId="12" xfId="0" applyFont="1" applyFill="1" applyBorder="1" applyAlignment="1">
      <alignment vertical="center" wrapText="1"/>
    </xf>
    <xf numFmtId="0" fontId="13" fillId="2" borderId="11" xfId="0" applyFont="1" applyFill="1" applyBorder="1" applyAlignment="1">
      <alignment vertical="center" wrapText="1"/>
    </xf>
    <xf numFmtId="0" fontId="13" fillId="2" borderId="0" xfId="0" applyFont="1" applyFill="1" applyAlignment="1">
      <alignment vertical="center" wrapText="1"/>
    </xf>
    <xf numFmtId="0" fontId="13" fillId="2" borderId="12" xfId="0" applyFont="1" applyFill="1" applyBorder="1" applyAlignment="1">
      <alignment vertical="center" wrapText="1"/>
    </xf>
    <xf numFmtId="0" fontId="13" fillId="2" borderId="13" xfId="0" applyFont="1" applyFill="1" applyBorder="1" applyAlignment="1">
      <alignment vertical="center" wrapText="1"/>
    </xf>
    <xf numFmtId="0" fontId="13" fillId="2" borderId="2" xfId="0" applyFont="1" applyFill="1" applyBorder="1" applyAlignment="1">
      <alignment vertical="center" wrapText="1"/>
    </xf>
    <xf numFmtId="0" fontId="13" fillId="2" borderId="14" xfId="0" applyFont="1" applyFill="1" applyBorder="1" applyAlignment="1">
      <alignment vertical="center" wrapText="1"/>
    </xf>
    <xf numFmtId="0" fontId="14" fillId="2" borderId="8" xfId="0" applyFont="1" applyFill="1" applyBorder="1" applyAlignment="1">
      <alignment vertical="center" wrapText="1"/>
    </xf>
    <xf numFmtId="0" fontId="14" fillId="2" borderId="9" xfId="0" applyFont="1" applyFill="1" applyBorder="1" applyAlignment="1">
      <alignment vertical="center" wrapText="1"/>
    </xf>
    <xf numFmtId="0" fontId="14" fillId="2" borderId="10" xfId="0" applyFont="1" applyFill="1" applyBorder="1" applyAlignment="1">
      <alignment vertical="center" wrapText="1"/>
    </xf>
    <xf numFmtId="0" fontId="15" fillId="2" borderId="11" xfId="0" applyFont="1" applyFill="1" applyBorder="1" applyAlignment="1">
      <alignment vertical="center" wrapText="1"/>
    </xf>
    <xf numFmtId="0" fontId="15" fillId="2" borderId="0" xfId="0" applyFont="1" applyFill="1" applyAlignment="1">
      <alignment vertical="center" wrapText="1"/>
    </xf>
    <xf numFmtId="0" fontId="15" fillId="2" borderId="12" xfId="0" applyFont="1" applyFill="1" applyBorder="1" applyAlignment="1">
      <alignment vertical="center" wrapText="1"/>
    </xf>
    <xf numFmtId="0" fontId="15" fillId="2" borderId="13" xfId="0" applyFont="1" applyFill="1" applyBorder="1" applyAlignment="1">
      <alignment vertical="center" wrapText="1"/>
    </xf>
    <xf numFmtId="0" fontId="15" fillId="2" borderId="2" xfId="0" applyFont="1" applyFill="1" applyBorder="1" applyAlignment="1">
      <alignment vertical="center" wrapText="1"/>
    </xf>
    <xf numFmtId="0" fontId="15" fillId="2" borderId="14" xfId="0" applyFont="1" applyFill="1" applyBorder="1" applyAlignment="1">
      <alignment vertical="center" wrapText="1"/>
    </xf>
    <xf numFmtId="0" fontId="16" fillId="2" borderId="8" xfId="0" applyFont="1" applyFill="1" applyBorder="1" applyAlignment="1">
      <alignment vertical="center" wrapText="1"/>
    </xf>
    <xf numFmtId="0" fontId="16" fillId="2" borderId="9" xfId="0" applyFont="1" applyFill="1" applyBorder="1" applyAlignment="1">
      <alignment vertical="center" wrapText="1"/>
    </xf>
    <xf numFmtId="0" fontId="16" fillId="2" borderId="10" xfId="0" applyFont="1" applyFill="1" applyBorder="1" applyAlignment="1">
      <alignment vertical="center" wrapText="1"/>
    </xf>
    <xf numFmtId="0" fontId="17" fillId="2" borderId="11" xfId="0" applyFont="1" applyFill="1" applyBorder="1" applyAlignment="1">
      <alignment vertical="center" wrapText="1"/>
    </xf>
    <xf numFmtId="0" fontId="17" fillId="2" borderId="0" xfId="0" applyFont="1" applyFill="1" applyAlignment="1">
      <alignment vertical="center" wrapText="1"/>
    </xf>
    <xf numFmtId="0" fontId="17" fillId="2" borderId="12" xfId="0" applyFont="1" applyFill="1" applyBorder="1" applyAlignment="1">
      <alignment vertical="center" wrapText="1"/>
    </xf>
    <xf numFmtId="0" fontId="17" fillId="2" borderId="13" xfId="0" applyFont="1" applyFill="1" applyBorder="1" applyAlignment="1">
      <alignment vertical="center" wrapText="1"/>
    </xf>
    <xf numFmtId="0" fontId="17" fillId="2" borderId="2" xfId="0" applyFont="1" applyFill="1" applyBorder="1" applyAlignment="1">
      <alignment vertical="center" wrapText="1"/>
    </xf>
    <xf numFmtId="0" fontId="17" fillId="2" borderId="14" xfId="0" applyFont="1" applyFill="1" applyBorder="1" applyAlignment="1">
      <alignment vertical="center" wrapText="1"/>
    </xf>
    <xf numFmtId="0" fontId="18" fillId="2" borderId="8" xfId="0" applyFont="1" applyFill="1" applyBorder="1" applyAlignment="1">
      <alignment vertical="center" wrapText="1"/>
    </xf>
    <xf numFmtId="0" fontId="18" fillId="2" borderId="9" xfId="0" applyFont="1" applyFill="1" applyBorder="1" applyAlignment="1">
      <alignment vertical="center" wrapText="1"/>
    </xf>
    <xf numFmtId="0" fontId="18" fillId="2" borderId="10" xfId="0" applyFont="1" applyFill="1" applyBorder="1" applyAlignment="1">
      <alignment vertical="center" wrapText="1"/>
    </xf>
    <xf numFmtId="0" fontId="19" fillId="2" borderId="11" xfId="0" applyFont="1" applyFill="1" applyBorder="1" applyAlignment="1">
      <alignment vertical="center" wrapText="1"/>
    </xf>
    <xf numFmtId="0" fontId="19" fillId="2" borderId="0" xfId="0" applyFont="1" applyFill="1" applyAlignment="1">
      <alignment vertical="center" wrapText="1"/>
    </xf>
    <xf numFmtId="0" fontId="19" fillId="2" borderId="12" xfId="0" applyFont="1" applyFill="1" applyBorder="1" applyAlignment="1">
      <alignment vertical="center" wrapText="1"/>
    </xf>
    <xf numFmtId="0" fontId="19" fillId="2" borderId="13" xfId="0" applyFont="1" applyFill="1" applyBorder="1" applyAlignment="1">
      <alignment vertical="center" wrapText="1"/>
    </xf>
    <xf numFmtId="0" fontId="19" fillId="2" borderId="2" xfId="0" applyFont="1" applyFill="1" applyBorder="1" applyAlignment="1">
      <alignment vertical="center" wrapText="1"/>
    </xf>
    <xf numFmtId="0" fontId="19" fillId="2" borderId="14" xfId="0" applyFont="1" applyFill="1" applyBorder="1" applyAlignment="1">
      <alignment vertical="center" wrapText="1"/>
    </xf>
    <xf numFmtId="0" fontId="20" fillId="2" borderId="8" xfId="0" applyFont="1" applyFill="1" applyBorder="1" applyAlignment="1">
      <alignment vertical="center" wrapText="1"/>
    </xf>
    <xf numFmtId="0" fontId="20" fillId="2" borderId="9" xfId="0" applyFont="1" applyFill="1" applyBorder="1" applyAlignment="1">
      <alignment vertical="center" wrapText="1"/>
    </xf>
    <xf numFmtId="0" fontId="20" fillId="2" borderId="10" xfId="0" applyFont="1" applyFill="1" applyBorder="1" applyAlignment="1">
      <alignment vertical="center" wrapText="1"/>
    </xf>
    <xf numFmtId="0" fontId="21" fillId="2" borderId="11" xfId="0" applyFont="1" applyFill="1" applyBorder="1" applyAlignment="1">
      <alignment vertical="center" wrapText="1"/>
    </xf>
    <xf numFmtId="0" fontId="21" fillId="2" borderId="0" xfId="0" applyFont="1" applyFill="1" applyAlignment="1">
      <alignment vertical="center" wrapText="1"/>
    </xf>
    <xf numFmtId="0" fontId="21" fillId="2" borderId="12" xfId="0" applyFont="1" applyFill="1" applyBorder="1" applyAlignment="1">
      <alignment vertical="center" wrapText="1"/>
    </xf>
    <xf numFmtId="0" fontId="21" fillId="2" borderId="13" xfId="0" applyFont="1" applyFill="1" applyBorder="1" applyAlignment="1">
      <alignment vertical="center" wrapText="1"/>
    </xf>
    <xf numFmtId="0" fontId="21" fillId="2" borderId="2" xfId="0" applyFont="1" applyFill="1" applyBorder="1" applyAlignment="1">
      <alignment vertical="center" wrapText="1"/>
    </xf>
    <xf numFmtId="0" fontId="21" fillId="2" borderId="14" xfId="0" applyFont="1" applyFill="1" applyBorder="1" applyAlignment="1">
      <alignment vertical="center" wrapText="1"/>
    </xf>
    <xf numFmtId="0" fontId="22" fillId="2" borderId="8" xfId="0" applyFont="1" applyFill="1" applyBorder="1" applyAlignment="1">
      <alignment vertical="center" wrapText="1"/>
    </xf>
    <xf numFmtId="0" fontId="22" fillId="2" borderId="9" xfId="0" applyFont="1" applyFill="1" applyBorder="1" applyAlignment="1">
      <alignment vertical="center" wrapText="1"/>
    </xf>
    <xf numFmtId="0" fontId="22" fillId="2" borderId="10" xfId="0" applyFont="1" applyFill="1" applyBorder="1" applyAlignment="1">
      <alignment vertical="center" wrapText="1"/>
    </xf>
    <xf numFmtId="0" fontId="23" fillId="2" borderId="11" xfId="0" applyFont="1" applyFill="1" applyBorder="1" applyAlignment="1">
      <alignment vertical="center" wrapText="1"/>
    </xf>
    <xf numFmtId="0" fontId="23" fillId="2" borderId="0" xfId="0" applyFont="1" applyFill="1" applyAlignment="1">
      <alignment vertical="center" wrapText="1"/>
    </xf>
    <xf numFmtId="0" fontId="23" fillId="2" borderId="12" xfId="0" applyFont="1" applyFill="1" applyBorder="1" applyAlignment="1">
      <alignment vertical="center" wrapText="1"/>
    </xf>
    <xf numFmtId="0" fontId="23" fillId="2" borderId="13" xfId="0" applyFont="1" applyFill="1" applyBorder="1" applyAlignment="1">
      <alignment vertical="center" wrapText="1"/>
    </xf>
    <xf numFmtId="0" fontId="23" fillId="2" borderId="2" xfId="0" applyFont="1" applyFill="1" applyBorder="1" applyAlignment="1">
      <alignment vertical="center" wrapText="1"/>
    </xf>
    <xf numFmtId="0" fontId="23" fillId="2" borderId="14" xfId="0" applyFont="1" applyFill="1" applyBorder="1" applyAlignment="1">
      <alignment vertical="center" wrapText="1"/>
    </xf>
    <xf numFmtId="0" fontId="24" fillId="3" borderId="0" xfId="0" applyFont="1" applyFill="1" applyAlignment="1">
      <alignment vertical="center" wrapText="1"/>
    </xf>
    <xf numFmtId="0" fontId="7" fillId="7" borderId="0" xfId="0" applyFont="1" applyFill="1" applyAlignment="1">
      <alignment horizontal="center" vertical="center" wrapText="1"/>
    </xf>
    <xf numFmtId="0" fontId="8" fillId="2" borderId="0" xfId="0" applyFont="1" applyFill="1" applyAlignment="1">
      <alignment vertical="center" wrapText="1"/>
    </xf>
    <xf numFmtId="0" fontId="25" fillId="2" borderId="0" xfId="0" applyFont="1" applyFill="1" applyAlignment="1">
      <alignment vertical="center" wrapText="1"/>
    </xf>
    <xf numFmtId="0" fontId="26" fillId="3" borderId="0" xfId="0" applyFont="1" applyFill="1" applyAlignment="1">
      <alignment vertical="center" wrapText="1"/>
    </xf>
    <xf numFmtId="0" fontId="12" fillId="3" borderId="0" xfId="0" applyFont="1" applyFill="1" applyAlignment="1">
      <alignment vertical="center" wrapText="1"/>
    </xf>
    <xf numFmtId="0" fontId="27" fillId="2" borderId="8" xfId="0" applyFont="1" applyFill="1" applyBorder="1" applyAlignment="1">
      <alignment vertical="center" wrapText="1"/>
    </xf>
    <xf numFmtId="0" fontId="27" fillId="2" borderId="9" xfId="0" applyFont="1" applyFill="1" applyBorder="1" applyAlignment="1">
      <alignment vertical="center" wrapText="1"/>
    </xf>
    <xf numFmtId="0" fontId="27" fillId="2" borderId="10" xfId="0" applyFont="1" applyFill="1" applyBorder="1" applyAlignment="1">
      <alignment vertical="center" wrapText="1"/>
    </xf>
    <xf numFmtId="0" fontId="28" fillId="2" borderId="11" xfId="0" applyFont="1" applyFill="1" applyBorder="1" applyAlignment="1">
      <alignment vertical="center" wrapText="1"/>
    </xf>
    <xf numFmtId="0" fontId="28" fillId="2" borderId="0" xfId="0" applyFont="1" applyFill="1" applyAlignment="1">
      <alignment vertical="center" wrapText="1"/>
    </xf>
    <xf numFmtId="0" fontId="28" fillId="2" borderId="12" xfId="0" applyFont="1" applyFill="1" applyBorder="1" applyAlignment="1">
      <alignment vertical="center" wrapText="1"/>
    </xf>
    <xf numFmtId="0" fontId="3" fillId="2" borderId="13" xfId="0" applyFont="1" applyFill="1" applyBorder="1" applyAlignment="1">
      <alignment vertical="center" wrapText="1"/>
    </xf>
    <xf numFmtId="0" fontId="3" fillId="2" borderId="2" xfId="0" applyFont="1" applyFill="1" applyBorder="1" applyAlignment="1">
      <alignment vertical="center" wrapText="1"/>
    </xf>
    <xf numFmtId="0" fontId="3" fillId="2" borderId="14" xfId="0" applyFont="1" applyFill="1" applyBorder="1" applyAlignment="1">
      <alignment vertical="center" wrapText="1"/>
    </xf>
    <xf numFmtId="9" fontId="29" fillId="2" borderId="11" xfId="0" applyNumberFormat="1" applyFont="1" applyFill="1" applyBorder="1" applyAlignment="1">
      <alignment vertical="center" wrapText="1"/>
    </xf>
    <xf numFmtId="9" fontId="29" fillId="2" borderId="0" xfId="0" applyNumberFormat="1" applyFont="1" applyFill="1" applyAlignment="1">
      <alignment vertical="center" wrapText="1"/>
    </xf>
    <xf numFmtId="9" fontId="29" fillId="2" borderId="12" xfId="0" applyNumberFormat="1" applyFont="1" applyFill="1" applyBorder="1" applyAlignment="1">
      <alignment vertical="center" wrapText="1"/>
    </xf>
    <xf numFmtId="0" fontId="30" fillId="2" borderId="11" xfId="0" applyFont="1" applyFill="1" applyBorder="1" applyAlignment="1">
      <alignment vertical="center" wrapText="1"/>
    </xf>
    <xf numFmtId="0" fontId="30" fillId="2" borderId="0" xfId="0" applyFont="1" applyFill="1" applyAlignment="1">
      <alignment vertical="center" wrapText="1"/>
    </xf>
    <xf numFmtId="0" fontId="30" fillId="2" borderId="12" xfId="0" applyFont="1" applyFill="1" applyBorder="1" applyAlignment="1">
      <alignment vertical="center" wrapText="1"/>
    </xf>
    <xf numFmtId="0" fontId="31" fillId="3" borderId="0" xfId="0" applyFont="1" applyFill="1" applyAlignment="1">
      <alignment vertical="center" wrapText="1"/>
    </xf>
    <xf numFmtId="0" fontId="32" fillId="2" borderId="0" xfId="0" applyFont="1" applyFill="1" applyAlignment="1">
      <alignment vertical="center" wrapText="1"/>
    </xf>
    <xf numFmtId="0" fontId="8" fillId="3" borderId="0" xfId="0" applyFont="1" applyFill="1" applyAlignment="1">
      <alignment vertical="center" wrapText="1"/>
    </xf>
    <xf numFmtId="0" fontId="33" fillId="2" borderId="0" xfId="0" applyFont="1" applyFill="1" applyAlignment="1">
      <alignment horizontal="center" vertical="center" wrapText="1"/>
    </xf>
    <xf numFmtId="0" fontId="33" fillId="2" borderId="0" xfId="0" applyFont="1" applyFill="1" applyAlignment="1">
      <alignment vertical="center" wrapText="1"/>
    </xf>
    <xf numFmtId="0" fontId="6" fillId="5" borderId="2" xfId="0" applyFont="1" applyFill="1" applyBorder="1" applyAlignment="1">
      <alignment horizontal="center" vertical="center" wrapText="1"/>
    </xf>
    <xf numFmtId="0" fontId="12" fillId="2" borderId="0" xfId="0" applyFont="1" applyFill="1" applyAlignment="1">
      <alignment horizontal="center" vertical="center" wrapText="1"/>
    </xf>
    <xf numFmtId="0" fontId="8" fillId="8" borderId="0" xfId="0" applyFont="1" applyFill="1" applyAlignment="1">
      <alignment vertical="center" wrapText="1"/>
    </xf>
    <xf numFmtId="0" fontId="12" fillId="8" borderId="0" xfId="0" applyFont="1" applyFill="1" applyAlignment="1">
      <alignment horizontal="center" vertical="center" wrapText="1"/>
    </xf>
    <xf numFmtId="0" fontId="12" fillId="8" borderId="0" xfId="0" applyFont="1" applyFill="1" applyAlignment="1">
      <alignment vertical="center" wrapText="1"/>
    </xf>
    <xf numFmtId="0" fontId="3" fillId="8" borderId="0" xfId="0" applyFont="1" applyFill="1" applyAlignment="1">
      <alignment vertical="center" wrapText="1"/>
    </xf>
    <xf numFmtId="0" fontId="13" fillId="2" borderId="0" xfId="0" applyFont="1" applyFill="1" applyAlignment="1">
      <alignment horizontal="center" vertical="center" wrapText="1"/>
    </xf>
    <xf numFmtId="0" fontId="3" fillId="3" borderId="0" xfId="0" applyFont="1" applyFill="1" applyAlignment="1">
      <alignment vertical="center" wrapText="1"/>
    </xf>
    <xf numFmtId="0" fontId="1" fillId="3" borderId="0" xfId="0" applyFont="1" applyFill="1" applyAlignment="1">
      <alignment vertical="center" wrapText="1"/>
    </xf>
    <xf numFmtId="0" fontId="4" fillId="2" borderId="0" xfId="0" applyFont="1" applyFill="1" applyAlignment="1">
      <alignment vertical="center" wrapText="1"/>
    </xf>
    <xf numFmtId="0" fontId="5" fillId="4" borderId="0" xfId="0" applyFont="1" applyFill="1" applyAlignment="1">
      <alignment vertical="center" wrapText="1"/>
    </xf>
    <xf numFmtId="0" fontId="1" fillId="3" borderId="3" xfId="0" applyFont="1" applyFill="1" applyBorder="1" applyAlignment="1">
      <alignment vertical="center" wrapText="1"/>
    </xf>
    <xf numFmtId="0" fontId="1" fillId="2" borderId="3" xfId="0" applyFont="1" applyFill="1" applyBorder="1" applyAlignment="1">
      <alignment vertical="center" wrapText="1"/>
    </xf>
    <xf numFmtId="0" fontId="2" fillId="2" borderId="0" xfId="0" applyFont="1" applyFill="1" applyAlignment="1">
      <alignment vertical="center" wrapText="1"/>
    </xf>
    <xf numFmtId="0" fontId="5" fillId="4" borderId="0" xfId="0" applyFont="1" applyFill="1" applyAlignment="1">
      <alignment horizontal="center" vertical="center" wrapText="1"/>
    </xf>
    <xf numFmtId="0" fontId="3" fillId="4" borderId="0" xfId="0" applyFont="1" applyFill="1" applyAlignment="1">
      <alignment vertical="center" wrapText="1"/>
    </xf>
    <xf numFmtId="0" fontId="3" fillId="4" borderId="0" xfId="0" applyFont="1" applyFill="1" applyAlignment="1">
      <alignment horizontal="center" vertical="center" wrapText="1"/>
    </xf>
    <xf numFmtId="14" fontId="3" fillId="4" borderId="0" xfId="0" applyNumberFormat="1" applyFont="1" applyFill="1" applyAlignment="1">
      <alignment vertical="center" wrapText="1"/>
    </xf>
    <xf numFmtId="14" fontId="5" fillId="4" borderId="0" xfId="0" applyNumberFormat="1" applyFont="1" applyFill="1" applyAlignment="1">
      <alignment vertical="center" wrapText="1"/>
    </xf>
  </cellXfs>
  <cellStyles count="1">
    <cellStyle name="Normal" xfId="0" builtinId="0"/>
  </cellStyles>
  <dxfs count="224">
    <dxf>
      <font>
        <b/>
        <color rgb="FF63758D"/>
      </font>
      <fill>
        <patternFill patternType="solid">
          <bgColor rgb="FFEBEEF3"/>
        </patternFill>
      </fill>
    </dxf>
    <dxf>
      <font>
        <b/>
        <color rgb="FF63758D"/>
      </font>
      <fill>
        <patternFill patternType="solid">
          <bgColor rgb="FFEBEEF3"/>
        </patternFill>
      </fill>
    </dxf>
    <dxf>
      <font>
        <b/>
        <color rgb="FF7257D9"/>
      </font>
      <fill>
        <patternFill patternType="solid">
          <bgColor rgb="FFEEE9FD"/>
        </patternFill>
      </fill>
    </dxf>
    <dxf>
      <font>
        <b/>
        <color rgb="FF7257D9"/>
      </font>
      <fill>
        <patternFill patternType="solid">
          <bgColor rgb="FFEEE9FD"/>
        </patternFill>
      </fill>
    </dxf>
    <dxf>
      <font>
        <b/>
        <color rgb="FFA36B10"/>
      </font>
      <fill>
        <patternFill patternType="solid">
          <bgColor rgb="FFFFF3D9"/>
        </patternFill>
      </fill>
    </dxf>
    <dxf>
      <font>
        <b/>
        <color rgb="FFA36B10"/>
      </font>
      <fill>
        <patternFill patternType="solid">
          <bgColor rgb="FFFFF3D9"/>
        </patternFill>
      </fill>
    </dxf>
    <dxf>
      <font>
        <b/>
        <color rgb="FFA36B10"/>
      </font>
      <fill>
        <patternFill patternType="solid">
          <bgColor rgb="FFFFF3D9"/>
        </patternFill>
      </fill>
    </dxf>
    <dxf>
      <font>
        <b/>
        <color rgb="FFA36B10"/>
      </font>
      <fill>
        <patternFill patternType="solid">
          <bgColor rgb="FFFFF3D9"/>
        </patternFill>
      </fill>
    </dxf>
    <dxf>
      <font>
        <b/>
        <color rgb="FFC4404A"/>
      </font>
      <fill>
        <patternFill patternType="solid">
          <bgColor rgb="FFFCE9EB"/>
        </patternFill>
      </fill>
    </dxf>
    <dxf>
      <font>
        <b/>
        <color rgb="FFC4404A"/>
      </font>
      <fill>
        <patternFill patternType="solid">
          <bgColor rgb="FFFCE9EB"/>
        </patternFill>
      </fill>
    </dxf>
    <dxf>
      <font>
        <b/>
        <color rgb="FF1375D6"/>
      </font>
      <fill>
        <patternFill patternType="solid">
          <bgColor rgb="FFE5F0FE"/>
        </patternFill>
      </fill>
    </dxf>
    <dxf>
      <font>
        <b/>
        <color rgb="FF12805C"/>
      </font>
      <fill>
        <patternFill patternType="solid">
          <bgColor rgb="FFE5F4ED"/>
        </patternFill>
      </fill>
    </dxf>
    <dxf>
      <font>
        <b/>
        <color rgb="FF12805C"/>
      </font>
      <fill>
        <patternFill patternType="solid">
          <bgColor rgb="FFE5F4ED"/>
        </patternFill>
      </fill>
    </dxf>
    <dxf>
      <font>
        <b/>
        <color rgb="FF12805C"/>
      </font>
      <fill>
        <patternFill patternType="solid">
          <bgColor rgb="FFE5F4ED"/>
        </patternFill>
      </fill>
    </dxf>
    <dxf>
      <font>
        <b/>
        <color rgb="FF12805C"/>
      </font>
      <fill>
        <patternFill patternType="solid">
          <bgColor rgb="FFE5F4ED"/>
        </patternFill>
      </fill>
    </dxf>
    <dxf>
      <font>
        <b/>
        <color rgb="FF64748B"/>
      </font>
      <fill>
        <patternFill>
          <bgColor rgb="FFF1F5F9"/>
        </patternFill>
      </fill>
    </dxf>
    <dxf>
      <font>
        <b/>
        <color rgb="FFC2413A"/>
      </font>
      <fill>
        <patternFill>
          <bgColor rgb="FFFFF0F0"/>
        </patternFill>
      </fill>
    </dxf>
    <dxf>
      <font>
        <b/>
        <color rgb="FFC2413A"/>
      </font>
      <fill>
        <patternFill>
          <bgColor rgb="FFFFF0F0"/>
        </patternFill>
      </fill>
    </dxf>
    <dxf>
      <font>
        <b/>
        <color rgb="FFB7791F"/>
      </font>
      <fill>
        <patternFill>
          <bgColor rgb="FFFFF8E6"/>
        </patternFill>
      </fill>
    </dxf>
    <dxf>
      <font>
        <b/>
        <color rgb="FFB7791F"/>
      </font>
      <fill>
        <patternFill>
          <bgColor rgb="FFFFF8E6"/>
        </patternFill>
      </fill>
    </dxf>
    <dxf>
      <font>
        <b/>
        <color rgb="FFB7791F"/>
      </font>
      <fill>
        <patternFill>
          <bgColor rgb="FFFFF8E6"/>
        </patternFill>
      </fill>
    </dxf>
    <dxf>
      <font>
        <b/>
        <color rgb="FF6D5BD0"/>
      </font>
      <fill>
        <patternFill>
          <bgColor rgb="FFF4F0FF"/>
        </patternFill>
      </fill>
    </dxf>
    <dxf>
      <font>
        <b/>
        <color rgb="FF6D5BD0"/>
      </font>
      <fill>
        <patternFill>
          <bgColor rgb="FFF4F0FF"/>
        </patternFill>
      </fill>
    </dxf>
    <dxf>
      <font>
        <b/>
        <color rgb="FF2563EB"/>
      </font>
      <fill>
        <patternFill>
          <bgColor rgb="FFEEF5FF"/>
        </patternFill>
      </fill>
    </dxf>
    <dxf>
      <font>
        <b/>
        <color rgb="FF15803D"/>
      </font>
      <fill>
        <patternFill>
          <bgColor rgb="FFECFDF3"/>
        </patternFill>
      </fill>
    </dxf>
    <dxf>
      <font>
        <b/>
        <color rgb="FF15803D"/>
      </font>
      <fill>
        <patternFill>
          <bgColor rgb="FFECFDF3"/>
        </patternFill>
      </fill>
    </dxf>
    <dxf>
      <font>
        <b/>
        <color rgb="FF15803D"/>
      </font>
      <fill>
        <patternFill>
          <bgColor rgb="FFECFDF3"/>
        </patternFill>
      </fill>
    </dxf>
    <dxf>
      <font>
        <b/>
        <color rgb="FF15803D"/>
      </font>
      <fill>
        <patternFill>
          <bgColor rgb="FFECFDF3"/>
        </patternFill>
      </fill>
    </dxf>
    <dxf>
      <font>
        <b/>
        <color rgb="FF2F6BFF"/>
      </font>
      <fill>
        <patternFill>
          <bgColor rgb="FFEAF2FF"/>
        </patternFill>
      </fill>
    </dxf>
    <dxf>
      <font>
        <b/>
        <color rgb="FF9A6700"/>
      </font>
      <fill>
        <patternFill>
          <bgColor rgb="FFFFF8E1"/>
        </patternFill>
      </fill>
    </dxf>
    <dxf>
      <font>
        <b/>
        <color rgb="FFC62828"/>
      </font>
      <fill>
        <patternFill>
          <bgColor rgb="FFFFEBEE"/>
        </patternFill>
      </fill>
    </dxf>
    <dxf>
      <font>
        <b/>
        <color rgb="FF607D8B"/>
      </font>
      <fill>
        <patternFill>
          <bgColor rgb="FFF3F6F8"/>
        </patternFill>
      </fill>
    </dxf>
    <dxf>
      <font>
        <b/>
        <color rgb="FF607D8B"/>
      </font>
      <fill>
        <patternFill>
          <bgColor rgb="FFF3F6F8"/>
        </patternFill>
      </fill>
    </dxf>
    <dxf>
      <font>
        <b/>
        <color rgb="FF2E7D32"/>
      </font>
      <fill>
        <patternFill>
          <bgColor rgb="FFE8F5E9"/>
        </patternFill>
      </fill>
    </dxf>
    <dxf>
      <font>
        <b/>
        <color rgb="FF63758D"/>
      </font>
      <fill>
        <patternFill patternType="solid">
          <bgColor rgb="FFEBEEF3"/>
        </patternFill>
      </fill>
    </dxf>
    <dxf>
      <font>
        <b/>
        <color rgb="FF63758D"/>
      </font>
      <fill>
        <patternFill patternType="solid">
          <bgColor rgb="FFEBEEF3"/>
        </patternFill>
      </fill>
    </dxf>
    <dxf>
      <font>
        <b/>
        <color rgb="FF7257D9"/>
      </font>
      <fill>
        <patternFill patternType="solid">
          <bgColor rgb="FFEEE9FD"/>
        </patternFill>
      </fill>
    </dxf>
    <dxf>
      <font>
        <b/>
        <color rgb="FF7257D9"/>
      </font>
      <fill>
        <patternFill patternType="solid">
          <bgColor rgb="FFEEE9FD"/>
        </patternFill>
      </fill>
    </dxf>
    <dxf>
      <font>
        <b/>
        <color rgb="FFA36B10"/>
      </font>
      <fill>
        <patternFill patternType="solid">
          <bgColor rgb="FFFFF3D9"/>
        </patternFill>
      </fill>
    </dxf>
    <dxf>
      <font>
        <b/>
        <color rgb="FFA36B10"/>
      </font>
      <fill>
        <patternFill patternType="solid">
          <bgColor rgb="FFFFF3D9"/>
        </patternFill>
      </fill>
    </dxf>
    <dxf>
      <font>
        <b/>
        <color rgb="FFA36B10"/>
      </font>
      <fill>
        <patternFill patternType="solid">
          <bgColor rgb="FFFFF3D9"/>
        </patternFill>
      </fill>
    </dxf>
    <dxf>
      <font>
        <b/>
        <color rgb="FFA36B10"/>
      </font>
      <fill>
        <patternFill patternType="solid">
          <bgColor rgb="FFFFF3D9"/>
        </patternFill>
      </fill>
    </dxf>
    <dxf>
      <font>
        <b/>
        <color rgb="FFC4404A"/>
      </font>
      <fill>
        <patternFill patternType="solid">
          <bgColor rgb="FFFCE9EB"/>
        </patternFill>
      </fill>
    </dxf>
    <dxf>
      <font>
        <b/>
        <color rgb="FFC4404A"/>
      </font>
      <fill>
        <patternFill patternType="solid">
          <bgColor rgb="FFFCE9EB"/>
        </patternFill>
      </fill>
    </dxf>
    <dxf>
      <font>
        <b/>
        <color rgb="FF1375D6"/>
      </font>
      <fill>
        <patternFill patternType="solid">
          <bgColor rgb="FFE5F0FE"/>
        </patternFill>
      </fill>
    </dxf>
    <dxf>
      <font>
        <b/>
        <color rgb="FF12805C"/>
      </font>
      <fill>
        <patternFill patternType="solid">
          <bgColor rgb="FFE5F4ED"/>
        </patternFill>
      </fill>
    </dxf>
    <dxf>
      <font>
        <b/>
        <color rgb="FF12805C"/>
      </font>
      <fill>
        <patternFill patternType="solid">
          <bgColor rgb="FFE5F4ED"/>
        </patternFill>
      </fill>
    </dxf>
    <dxf>
      <font>
        <b/>
        <color rgb="FF12805C"/>
      </font>
      <fill>
        <patternFill patternType="solid">
          <bgColor rgb="FFE5F4ED"/>
        </patternFill>
      </fill>
    </dxf>
    <dxf>
      <font>
        <b/>
        <color rgb="FF12805C"/>
      </font>
      <fill>
        <patternFill patternType="solid">
          <bgColor rgb="FFE5F4ED"/>
        </patternFill>
      </fill>
    </dxf>
    <dxf>
      <font>
        <b/>
        <color rgb="FFB7791F"/>
      </font>
      <fill>
        <patternFill>
          <bgColor rgb="FFFFF8E6"/>
        </patternFill>
      </fill>
    </dxf>
    <dxf>
      <font>
        <b/>
        <color rgb="FFB7791F"/>
      </font>
      <fill>
        <patternFill>
          <bgColor rgb="FFFFF8E6"/>
        </patternFill>
      </fill>
    </dxf>
    <dxf>
      <font>
        <b/>
        <color rgb="FF15803D"/>
      </font>
      <fill>
        <patternFill>
          <bgColor rgb="FFECFDF3"/>
        </patternFill>
      </fill>
    </dxf>
    <dxf>
      <font>
        <b/>
        <color rgb="FF15803D"/>
      </font>
      <fill>
        <patternFill>
          <bgColor rgb="FFECFDF3"/>
        </patternFill>
      </fill>
    </dxf>
    <dxf>
      <font>
        <b/>
        <color rgb="FF15803D"/>
      </font>
      <fill>
        <patternFill>
          <bgColor rgb="FFECFDF3"/>
        </patternFill>
      </fill>
    </dxf>
    <dxf>
      <font>
        <b/>
        <color rgb="FF15803D"/>
      </font>
      <fill>
        <patternFill>
          <bgColor rgb="FFECFDF3"/>
        </patternFill>
      </fill>
    </dxf>
    <dxf>
      <font>
        <b/>
        <color rgb="FF6D5BD0"/>
      </font>
      <fill>
        <patternFill>
          <bgColor rgb="FFF4F0FF"/>
        </patternFill>
      </fill>
    </dxf>
    <dxf>
      <font>
        <b/>
        <color rgb="FF2563EB"/>
      </font>
      <fill>
        <patternFill>
          <bgColor rgb="FFEEF5FF"/>
        </patternFill>
      </fill>
    </dxf>
    <dxf>
      <font>
        <b/>
        <color rgb="FF6D5BD0"/>
      </font>
      <fill>
        <patternFill>
          <bgColor rgb="FFF4F0FF"/>
        </patternFill>
      </fill>
    </dxf>
    <dxf>
      <font>
        <b/>
        <color rgb="FF64748B"/>
      </font>
      <fill>
        <patternFill>
          <bgColor rgb="FFF1F5F9"/>
        </patternFill>
      </fill>
    </dxf>
    <dxf>
      <font>
        <b/>
        <color rgb="FFC2413A"/>
      </font>
      <fill>
        <patternFill>
          <bgColor rgb="FFFFF0F0"/>
        </patternFill>
      </fill>
    </dxf>
    <dxf>
      <font>
        <b/>
        <color rgb="FFC2413A"/>
      </font>
      <fill>
        <patternFill>
          <bgColor rgb="FFFFF0F0"/>
        </patternFill>
      </fill>
    </dxf>
    <dxf>
      <font>
        <b/>
        <color rgb="FFB7791F"/>
      </font>
      <fill>
        <patternFill>
          <bgColor rgb="FFFFF8E6"/>
        </patternFill>
      </fill>
    </dxf>
    <dxf>
      <font>
        <b/>
        <color rgb="FF15803D"/>
      </font>
      <fill>
        <patternFill>
          <bgColor rgb="FFECFDF3"/>
        </patternFill>
      </fill>
    </dxf>
    <dxf>
      <font>
        <b/>
        <color rgb="FF15803D"/>
      </font>
      <fill>
        <patternFill>
          <bgColor rgb="FFECFDF3"/>
        </patternFill>
      </fill>
    </dxf>
    <dxf>
      <font>
        <b/>
        <color rgb="FFC2413A"/>
      </font>
      <fill>
        <patternFill>
          <bgColor rgb="FFFFF0F0"/>
        </patternFill>
      </fill>
    </dxf>
    <dxf>
      <font>
        <b/>
        <color rgb="FF64748B"/>
      </font>
      <fill>
        <patternFill>
          <bgColor rgb="FFF1F5F9"/>
        </patternFill>
      </fill>
    </dxf>
    <dxf>
      <font>
        <b/>
        <color rgb="FFC2413A"/>
      </font>
      <fill>
        <patternFill>
          <bgColor rgb="FFFFF0F0"/>
        </patternFill>
      </fill>
    </dxf>
    <dxf>
      <font>
        <b/>
        <color rgb="FFB7791F"/>
      </font>
      <fill>
        <patternFill>
          <bgColor rgb="FFFFF8E6"/>
        </patternFill>
      </fill>
    </dxf>
    <dxf>
      <font>
        <b/>
        <color rgb="FFB7791F"/>
      </font>
      <fill>
        <patternFill>
          <bgColor rgb="FFFFF8E6"/>
        </patternFill>
      </fill>
    </dxf>
    <dxf>
      <font>
        <b/>
        <color rgb="FFB7791F"/>
      </font>
      <fill>
        <patternFill>
          <bgColor rgb="FFFFF8E6"/>
        </patternFill>
      </fill>
    </dxf>
    <dxf>
      <font>
        <b/>
        <color rgb="FF6D5BD0"/>
      </font>
      <fill>
        <patternFill>
          <bgColor rgb="FFF4F0FF"/>
        </patternFill>
      </fill>
    </dxf>
    <dxf>
      <font>
        <b/>
        <color rgb="FF6D5BD0"/>
      </font>
      <fill>
        <patternFill>
          <bgColor rgb="FFF4F0FF"/>
        </patternFill>
      </fill>
    </dxf>
    <dxf>
      <font>
        <b/>
        <color rgb="FF2563EB"/>
      </font>
      <fill>
        <patternFill>
          <bgColor rgb="FFEEF5FF"/>
        </patternFill>
      </fill>
    </dxf>
    <dxf>
      <font>
        <b/>
        <color rgb="FF15803D"/>
      </font>
      <fill>
        <patternFill>
          <bgColor rgb="FFECFDF3"/>
        </patternFill>
      </fill>
    </dxf>
    <dxf>
      <font>
        <b/>
        <color rgb="FF15803D"/>
      </font>
      <fill>
        <patternFill>
          <bgColor rgb="FFECFDF3"/>
        </patternFill>
      </fill>
    </dxf>
    <dxf>
      <font>
        <b/>
        <color rgb="FF607D8B"/>
      </font>
      <fill>
        <patternFill>
          <bgColor rgb="FFF3F6F8"/>
        </patternFill>
      </fill>
    </dxf>
    <dxf>
      <font>
        <b/>
        <color rgb="FF2F6BFF"/>
      </font>
      <fill>
        <patternFill>
          <bgColor rgb="FFEAF2FF"/>
        </patternFill>
      </fill>
    </dxf>
    <dxf>
      <font>
        <b/>
        <color rgb="FF9A6700"/>
      </font>
      <fill>
        <patternFill>
          <bgColor rgb="FFFFF8E1"/>
        </patternFill>
      </fill>
    </dxf>
    <dxf>
      <font>
        <b/>
        <color rgb="FFE67E22"/>
      </font>
      <fill>
        <patternFill>
          <bgColor rgb="FFFFF1E6"/>
        </patternFill>
      </fill>
    </dxf>
    <dxf>
      <font>
        <b/>
        <color rgb="FF2563EB"/>
      </font>
      <fill>
        <patternFill>
          <bgColor rgb="FFEEF5FF"/>
        </patternFill>
      </fill>
    </dxf>
    <dxf>
      <font>
        <b/>
        <color rgb="FFB7791F"/>
      </font>
      <fill>
        <patternFill>
          <bgColor rgb="FFFFF8E6"/>
        </patternFill>
      </fill>
    </dxf>
    <dxf>
      <font>
        <b/>
        <color rgb="FFC2413A"/>
      </font>
      <fill>
        <patternFill>
          <bgColor rgb="FFFFF0F0"/>
        </patternFill>
      </fill>
    </dxf>
    <dxf>
      <font>
        <b/>
        <color rgb="FF607D8B"/>
      </font>
      <fill>
        <patternFill>
          <bgColor rgb="FFF3F6F8"/>
        </patternFill>
      </fill>
    </dxf>
    <dxf>
      <font>
        <b/>
        <color rgb="FF2E7D32"/>
      </font>
      <fill>
        <patternFill>
          <bgColor rgb="FFE8F5E9"/>
        </patternFill>
      </fill>
    </dxf>
    <dxf>
      <font>
        <b/>
        <color rgb="FF6D4C9A"/>
      </font>
      <fill>
        <patternFill>
          <bgColor rgb="FFF2ECFA"/>
        </patternFill>
      </fill>
    </dxf>
    <dxf>
      <font>
        <b/>
        <color rgb="FFC62828"/>
      </font>
      <fill>
        <patternFill>
          <bgColor rgb="FFFFEBEE"/>
        </patternFill>
      </fill>
    </dxf>
    <dxf>
      <font>
        <b/>
        <color rgb="FF9A6700"/>
      </font>
      <fill>
        <patternFill>
          <bgColor rgb="FFFFF8E1"/>
        </patternFill>
      </fill>
    </dxf>
    <dxf>
      <font>
        <b/>
        <color rgb="FF63758D"/>
      </font>
      <fill>
        <patternFill patternType="solid">
          <bgColor rgb="FFEBEEF3"/>
        </patternFill>
      </fill>
    </dxf>
    <dxf>
      <font>
        <b/>
        <color rgb="FF63758D"/>
      </font>
      <fill>
        <patternFill patternType="solid">
          <bgColor rgb="FFEBEEF3"/>
        </patternFill>
      </fill>
    </dxf>
    <dxf>
      <font>
        <b/>
        <color rgb="FFC4404A"/>
      </font>
      <fill>
        <patternFill patternType="solid">
          <bgColor rgb="FFFCE9EB"/>
        </patternFill>
      </fill>
    </dxf>
    <dxf>
      <font>
        <b/>
        <color rgb="FF12805C"/>
      </font>
      <fill>
        <patternFill patternType="solid">
          <bgColor rgb="FFE5F4ED"/>
        </patternFill>
      </fill>
    </dxf>
    <dxf>
      <font>
        <b/>
        <color rgb="FF12805C"/>
      </font>
      <fill>
        <patternFill patternType="solid">
          <bgColor rgb="FFE5F4ED"/>
        </patternFill>
      </fill>
    </dxf>
    <dxf>
      <font>
        <b/>
        <color rgb="FF12805C"/>
      </font>
      <fill>
        <patternFill patternType="solid">
          <bgColor rgb="FFE5F4ED"/>
        </patternFill>
      </fill>
    </dxf>
    <dxf>
      <font>
        <b/>
        <color rgb="FF12805C"/>
      </font>
      <fill>
        <patternFill patternType="solid">
          <bgColor rgb="FFE5F4ED"/>
        </patternFill>
      </fill>
    </dxf>
    <dxf>
      <font>
        <b/>
        <color rgb="FF1375D6"/>
      </font>
      <fill>
        <patternFill patternType="solid">
          <bgColor rgb="FFE5F0FE"/>
        </patternFill>
      </fill>
    </dxf>
    <dxf>
      <font>
        <b/>
        <color rgb="FFA36B10"/>
      </font>
      <fill>
        <patternFill patternType="solid">
          <bgColor rgb="FFFFF3D9"/>
        </patternFill>
      </fill>
    </dxf>
    <dxf>
      <font>
        <b/>
        <color rgb="FFA36B10"/>
      </font>
      <fill>
        <patternFill patternType="solid">
          <bgColor rgb="FFFFF3D9"/>
        </patternFill>
      </fill>
    </dxf>
    <dxf>
      <font>
        <b/>
        <color rgb="FFA36B10"/>
      </font>
      <fill>
        <patternFill patternType="solid">
          <bgColor rgb="FFFFF3D9"/>
        </patternFill>
      </fill>
    </dxf>
    <dxf>
      <font>
        <b/>
        <color rgb="FFA36B10"/>
      </font>
      <fill>
        <patternFill patternType="solid">
          <bgColor rgb="FFFFF3D9"/>
        </patternFill>
      </fill>
    </dxf>
    <dxf>
      <font>
        <b/>
        <color rgb="FF7257D9"/>
      </font>
      <fill>
        <patternFill patternType="solid">
          <bgColor rgb="FFEEE9FD"/>
        </patternFill>
      </fill>
    </dxf>
    <dxf>
      <font>
        <b/>
        <color rgb="FF7257D9"/>
      </font>
      <fill>
        <patternFill patternType="solid">
          <bgColor rgb="FFEEE9FD"/>
        </patternFill>
      </fill>
    </dxf>
    <dxf>
      <font>
        <b/>
        <color rgb="FFC4404A"/>
      </font>
      <fill>
        <patternFill patternType="solid">
          <bgColor rgb="FFFCE9EB"/>
        </patternFill>
      </fill>
    </dxf>
    <dxf>
      <font>
        <b/>
        <color rgb="FF63758D"/>
      </font>
      <fill>
        <patternFill patternType="solid">
          <bgColor rgb="FFEBEEF3"/>
        </patternFill>
      </fill>
    </dxf>
    <dxf>
      <font>
        <b/>
        <color rgb="FF63758D"/>
      </font>
      <fill>
        <patternFill patternType="solid">
          <bgColor rgb="FFEBEEF3"/>
        </patternFill>
      </fill>
    </dxf>
    <dxf>
      <font>
        <b/>
        <color rgb="FF7257D9"/>
      </font>
      <fill>
        <patternFill patternType="solid">
          <bgColor rgb="FFEEE9FD"/>
        </patternFill>
      </fill>
    </dxf>
    <dxf>
      <font>
        <b/>
        <color rgb="FF7257D9"/>
      </font>
      <fill>
        <patternFill patternType="solid">
          <bgColor rgb="FFEEE9FD"/>
        </patternFill>
      </fill>
    </dxf>
    <dxf>
      <font>
        <b/>
        <color rgb="FFA36B10"/>
      </font>
      <fill>
        <patternFill patternType="solid">
          <bgColor rgb="FFFFF3D9"/>
        </patternFill>
      </fill>
    </dxf>
    <dxf>
      <font>
        <b/>
        <color rgb="FFA36B10"/>
      </font>
      <fill>
        <patternFill patternType="solid">
          <bgColor rgb="FFFFF3D9"/>
        </patternFill>
      </fill>
    </dxf>
    <dxf>
      <font>
        <b/>
        <color rgb="FFA36B10"/>
      </font>
      <fill>
        <patternFill patternType="solid">
          <bgColor rgb="FFFFF3D9"/>
        </patternFill>
      </fill>
    </dxf>
    <dxf>
      <font>
        <b/>
        <color rgb="FFA36B10"/>
      </font>
      <fill>
        <patternFill patternType="solid">
          <bgColor rgb="FFFFF3D9"/>
        </patternFill>
      </fill>
    </dxf>
    <dxf>
      <font>
        <b/>
        <color rgb="FFC4404A"/>
      </font>
      <fill>
        <patternFill patternType="solid">
          <bgColor rgb="FFFCE9EB"/>
        </patternFill>
      </fill>
    </dxf>
    <dxf>
      <font>
        <b/>
        <color rgb="FFC4404A"/>
      </font>
      <fill>
        <patternFill patternType="solid">
          <bgColor rgb="FFFCE9EB"/>
        </patternFill>
      </fill>
    </dxf>
    <dxf>
      <font>
        <b/>
        <color rgb="FF1375D6"/>
      </font>
      <fill>
        <patternFill patternType="solid">
          <bgColor rgb="FFE5F0FE"/>
        </patternFill>
      </fill>
    </dxf>
    <dxf>
      <font>
        <b/>
        <color rgb="FF12805C"/>
      </font>
      <fill>
        <patternFill patternType="solid">
          <bgColor rgb="FFE5F4ED"/>
        </patternFill>
      </fill>
    </dxf>
    <dxf>
      <font>
        <b/>
        <color rgb="FF12805C"/>
      </font>
      <fill>
        <patternFill patternType="solid">
          <bgColor rgb="FFE5F4ED"/>
        </patternFill>
      </fill>
    </dxf>
    <dxf>
      <font>
        <b/>
        <color rgb="FF12805C"/>
      </font>
      <fill>
        <patternFill patternType="solid">
          <bgColor rgb="FFE5F4ED"/>
        </patternFill>
      </fill>
    </dxf>
    <dxf>
      <font>
        <b/>
        <color rgb="FF12805C"/>
      </font>
      <fill>
        <patternFill patternType="solid">
          <bgColor rgb="FFE5F4ED"/>
        </patternFill>
      </fill>
    </dxf>
    <dxf>
      <font>
        <b/>
        <color rgb="FF64748B"/>
      </font>
      <fill>
        <patternFill>
          <bgColor rgb="FFF1F5F9"/>
        </patternFill>
      </fill>
    </dxf>
    <dxf>
      <font>
        <b/>
        <color rgb="FFC2413A"/>
      </font>
      <fill>
        <patternFill>
          <bgColor rgb="FFFFF0F0"/>
        </patternFill>
      </fill>
    </dxf>
    <dxf>
      <font>
        <b/>
        <color rgb="FFC2413A"/>
      </font>
      <fill>
        <patternFill>
          <bgColor rgb="FFFFF0F0"/>
        </patternFill>
      </fill>
    </dxf>
    <dxf>
      <font>
        <b/>
        <color rgb="FFB7791F"/>
      </font>
      <fill>
        <patternFill>
          <bgColor rgb="FFFFF8E6"/>
        </patternFill>
      </fill>
    </dxf>
    <dxf>
      <font>
        <b/>
        <color rgb="FFB7791F"/>
      </font>
      <fill>
        <patternFill>
          <bgColor rgb="FFFFF8E6"/>
        </patternFill>
      </fill>
    </dxf>
    <dxf>
      <font>
        <b/>
        <color rgb="FFB7791F"/>
      </font>
      <fill>
        <patternFill>
          <bgColor rgb="FFFFF8E6"/>
        </patternFill>
      </fill>
    </dxf>
    <dxf>
      <font>
        <b/>
        <color rgb="FF6D5BD0"/>
      </font>
      <fill>
        <patternFill>
          <bgColor rgb="FFF4F0FF"/>
        </patternFill>
      </fill>
    </dxf>
    <dxf>
      <font>
        <b/>
        <color rgb="FF6D5BD0"/>
      </font>
      <fill>
        <patternFill>
          <bgColor rgb="FFF4F0FF"/>
        </patternFill>
      </fill>
    </dxf>
    <dxf>
      <font>
        <b/>
        <color rgb="FF2563EB"/>
      </font>
      <fill>
        <patternFill>
          <bgColor rgb="FFEEF5FF"/>
        </patternFill>
      </fill>
    </dxf>
    <dxf>
      <font>
        <b/>
        <color rgb="FF15803D"/>
      </font>
      <fill>
        <patternFill>
          <bgColor rgb="FFECFDF3"/>
        </patternFill>
      </fill>
    </dxf>
    <dxf>
      <font>
        <b/>
        <color rgb="FF15803D"/>
      </font>
      <fill>
        <patternFill>
          <bgColor rgb="FFECFDF3"/>
        </patternFill>
      </fill>
    </dxf>
    <dxf>
      <font>
        <b/>
        <color rgb="FF15803D"/>
      </font>
      <fill>
        <patternFill>
          <bgColor rgb="FFECFDF3"/>
        </patternFill>
      </fill>
    </dxf>
    <dxf>
      <font>
        <b/>
        <color rgb="FF15803D"/>
      </font>
      <fill>
        <patternFill>
          <bgColor rgb="FFECFDF3"/>
        </patternFill>
      </fill>
    </dxf>
    <dxf>
      <font>
        <b/>
        <color rgb="FFC4404A"/>
      </font>
    </dxf>
    <dxf>
      <font>
        <b/>
        <color rgb="FF2563EB"/>
      </font>
      <fill>
        <patternFill>
          <bgColor rgb="FFEEF5FF"/>
        </patternFill>
      </fill>
    </dxf>
    <dxf>
      <font>
        <b/>
        <color rgb="FFB7791F"/>
      </font>
      <fill>
        <patternFill>
          <bgColor rgb="FFFFF8E6"/>
        </patternFill>
      </fill>
    </dxf>
    <dxf>
      <font>
        <b/>
        <color rgb="FFC2413A"/>
      </font>
      <fill>
        <patternFill>
          <bgColor rgb="FFFFF0F0"/>
        </patternFill>
      </fill>
    </dxf>
    <dxf>
      <font>
        <b/>
        <color rgb="FF63758D"/>
      </font>
      <fill>
        <patternFill patternType="solid">
          <bgColor rgb="FFEBEEF3"/>
        </patternFill>
      </fill>
    </dxf>
    <dxf>
      <font>
        <b/>
        <color rgb="FF63758D"/>
      </font>
      <fill>
        <patternFill patternType="solid">
          <bgColor rgb="FFEBEEF3"/>
        </patternFill>
      </fill>
    </dxf>
    <dxf>
      <font>
        <b/>
        <color rgb="FF7257D9"/>
      </font>
      <fill>
        <patternFill patternType="solid">
          <bgColor rgb="FFEEE9FD"/>
        </patternFill>
      </fill>
    </dxf>
    <dxf>
      <font>
        <b/>
        <color rgb="FF7257D9"/>
      </font>
      <fill>
        <patternFill patternType="solid">
          <bgColor rgb="FFEEE9FD"/>
        </patternFill>
      </fill>
    </dxf>
    <dxf>
      <font>
        <b/>
        <color rgb="FFA36B10"/>
      </font>
      <fill>
        <patternFill patternType="solid">
          <bgColor rgb="FFFFF3D9"/>
        </patternFill>
      </fill>
    </dxf>
    <dxf>
      <font>
        <b/>
        <color rgb="FFA36B10"/>
      </font>
      <fill>
        <patternFill patternType="solid">
          <bgColor rgb="FFFFF3D9"/>
        </patternFill>
      </fill>
    </dxf>
    <dxf>
      <font>
        <b/>
        <color rgb="FFA36B10"/>
      </font>
      <fill>
        <patternFill patternType="solid">
          <bgColor rgb="FFFFF3D9"/>
        </patternFill>
      </fill>
    </dxf>
    <dxf>
      <font>
        <b/>
        <color rgb="FFA36B10"/>
      </font>
      <fill>
        <patternFill patternType="solid">
          <bgColor rgb="FFFFF3D9"/>
        </patternFill>
      </fill>
    </dxf>
    <dxf>
      <font>
        <b/>
        <color rgb="FFC4404A"/>
      </font>
      <fill>
        <patternFill patternType="solid">
          <bgColor rgb="FFFCE9EB"/>
        </patternFill>
      </fill>
    </dxf>
    <dxf>
      <font>
        <b/>
        <color rgb="FFC4404A"/>
      </font>
      <fill>
        <patternFill patternType="solid">
          <bgColor rgb="FFFCE9EB"/>
        </patternFill>
      </fill>
    </dxf>
    <dxf>
      <font>
        <b/>
        <color rgb="FF1375D6"/>
      </font>
      <fill>
        <patternFill patternType="solid">
          <bgColor rgb="FFE5F0FE"/>
        </patternFill>
      </fill>
    </dxf>
    <dxf>
      <font>
        <b/>
        <color rgb="FF12805C"/>
      </font>
      <fill>
        <patternFill patternType="solid">
          <bgColor rgb="FFE5F4ED"/>
        </patternFill>
      </fill>
    </dxf>
    <dxf>
      <font>
        <b/>
        <color rgb="FF12805C"/>
      </font>
      <fill>
        <patternFill patternType="solid">
          <bgColor rgb="FFE5F4ED"/>
        </patternFill>
      </fill>
    </dxf>
    <dxf>
      <font>
        <b/>
        <color rgb="FF12805C"/>
      </font>
      <fill>
        <patternFill patternType="solid">
          <bgColor rgb="FFE5F4ED"/>
        </patternFill>
      </fill>
    </dxf>
    <dxf>
      <font>
        <b/>
        <color rgb="FF12805C"/>
      </font>
      <fill>
        <patternFill patternType="solid">
          <bgColor rgb="FFE5F4ED"/>
        </patternFill>
      </fill>
    </dxf>
    <dxf>
      <font>
        <b/>
        <color rgb="FF63758D"/>
      </font>
      <fill>
        <patternFill patternType="solid">
          <bgColor rgb="FFEBEEF3"/>
        </patternFill>
      </fill>
    </dxf>
    <dxf>
      <font>
        <b/>
        <color rgb="FF63758D"/>
      </font>
      <fill>
        <patternFill patternType="solid">
          <bgColor rgb="FFEBEEF3"/>
        </patternFill>
      </fill>
    </dxf>
    <dxf>
      <font>
        <b/>
        <color rgb="FF7257D9"/>
      </font>
      <fill>
        <patternFill patternType="solid">
          <bgColor rgb="FFEEE9FD"/>
        </patternFill>
      </fill>
    </dxf>
    <dxf>
      <font>
        <b/>
        <color rgb="FF7257D9"/>
      </font>
      <fill>
        <patternFill patternType="solid">
          <bgColor rgb="FFEEE9FD"/>
        </patternFill>
      </fill>
    </dxf>
    <dxf>
      <font>
        <b/>
        <color rgb="FFA36B10"/>
      </font>
      <fill>
        <patternFill patternType="solid">
          <bgColor rgb="FFFFF3D9"/>
        </patternFill>
      </fill>
    </dxf>
    <dxf>
      <font>
        <b/>
        <color rgb="FFA36B10"/>
      </font>
      <fill>
        <patternFill patternType="solid">
          <bgColor rgb="FFFFF3D9"/>
        </patternFill>
      </fill>
    </dxf>
    <dxf>
      <font>
        <b/>
        <color rgb="FFA36B10"/>
      </font>
      <fill>
        <patternFill patternType="solid">
          <bgColor rgb="FFFFF3D9"/>
        </patternFill>
      </fill>
    </dxf>
    <dxf>
      <font>
        <b/>
        <color rgb="FFA36B10"/>
      </font>
      <fill>
        <patternFill patternType="solid">
          <bgColor rgb="FFFFF3D9"/>
        </patternFill>
      </fill>
    </dxf>
    <dxf>
      <font>
        <b/>
        <color rgb="FFC4404A"/>
      </font>
      <fill>
        <patternFill patternType="solid">
          <bgColor rgb="FFFCE9EB"/>
        </patternFill>
      </fill>
    </dxf>
    <dxf>
      <font>
        <b/>
        <color rgb="FFC4404A"/>
      </font>
      <fill>
        <patternFill patternType="solid">
          <bgColor rgb="FFFCE9EB"/>
        </patternFill>
      </fill>
    </dxf>
    <dxf>
      <font>
        <b/>
        <color rgb="FF1375D6"/>
      </font>
      <fill>
        <patternFill patternType="solid">
          <bgColor rgb="FFE5F0FE"/>
        </patternFill>
      </fill>
    </dxf>
    <dxf>
      <font>
        <b/>
        <color rgb="FF12805C"/>
      </font>
      <fill>
        <patternFill patternType="solid">
          <bgColor rgb="FFE5F4ED"/>
        </patternFill>
      </fill>
    </dxf>
    <dxf>
      <font>
        <b/>
        <color rgb="FF12805C"/>
      </font>
      <fill>
        <patternFill patternType="solid">
          <bgColor rgb="FFE5F4ED"/>
        </patternFill>
      </fill>
    </dxf>
    <dxf>
      <font>
        <b/>
        <color rgb="FF12805C"/>
      </font>
      <fill>
        <patternFill patternType="solid">
          <bgColor rgb="FFE5F4ED"/>
        </patternFill>
      </fill>
    </dxf>
    <dxf>
      <font>
        <b/>
        <color rgb="FF12805C"/>
      </font>
      <fill>
        <patternFill patternType="solid">
          <bgColor rgb="FFE5F4ED"/>
        </patternFill>
      </fill>
    </dxf>
    <dxf>
      <font>
        <b/>
        <color rgb="FF12805C"/>
      </font>
      <fill>
        <patternFill patternType="solid">
          <bgColor rgb="FFE5F4ED"/>
        </patternFill>
      </fill>
    </dxf>
    <dxf>
      <font>
        <b/>
        <color rgb="FF63758D"/>
      </font>
      <fill>
        <patternFill patternType="solid">
          <bgColor rgb="FFEBEEF3"/>
        </patternFill>
      </fill>
    </dxf>
    <dxf>
      <font>
        <b/>
        <color rgb="FF63758D"/>
      </font>
      <fill>
        <patternFill patternType="solid">
          <bgColor rgb="FFEBEEF3"/>
        </patternFill>
      </fill>
    </dxf>
    <dxf>
      <font>
        <b/>
        <color rgb="FF7257D9"/>
      </font>
      <fill>
        <patternFill patternType="solid">
          <bgColor rgb="FFEEE9FD"/>
        </patternFill>
      </fill>
    </dxf>
    <dxf>
      <font>
        <b/>
        <color rgb="FF7257D9"/>
      </font>
      <fill>
        <patternFill patternType="solid">
          <bgColor rgb="FFEEE9FD"/>
        </patternFill>
      </fill>
    </dxf>
    <dxf>
      <font>
        <b/>
        <color rgb="FFA36B10"/>
      </font>
      <fill>
        <patternFill patternType="solid">
          <bgColor rgb="FFFFF3D9"/>
        </patternFill>
      </fill>
    </dxf>
    <dxf>
      <font>
        <b/>
        <color rgb="FFA36B10"/>
      </font>
      <fill>
        <patternFill patternType="solid">
          <bgColor rgb="FFFFF3D9"/>
        </patternFill>
      </fill>
    </dxf>
    <dxf>
      <font>
        <b/>
        <color rgb="FF12805C"/>
      </font>
      <fill>
        <patternFill patternType="solid">
          <bgColor rgb="FFE5F4ED"/>
        </patternFill>
      </fill>
    </dxf>
    <dxf>
      <font>
        <b/>
        <color rgb="FFA36B10"/>
      </font>
      <fill>
        <patternFill patternType="solid">
          <bgColor rgb="FFFFF3D9"/>
        </patternFill>
      </fill>
    </dxf>
    <dxf>
      <font>
        <b/>
        <color rgb="FFA36B10"/>
      </font>
      <fill>
        <patternFill patternType="solid">
          <bgColor rgb="FFFFF3D9"/>
        </patternFill>
      </fill>
    </dxf>
    <dxf>
      <font>
        <b/>
        <color rgb="FFC4404A"/>
      </font>
      <fill>
        <patternFill patternType="solid">
          <bgColor rgb="FFFCE9EB"/>
        </patternFill>
      </fill>
    </dxf>
    <dxf>
      <font>
        <b/>
        <color rgb="FFC4404A"/>
      </font>
      <fill>
        <patternFill patternType="solid">
          <bgColor rgb="FFFCE9EB"/>
        </patternFill>
      </fill>
    </dxf>
    <dxf>
      <font>
        <b/>
        <color rgb="FF1375D6"/>
      </font>
      <fill>
        <patternFill patternType="solid">
          <bgColor rgb="FFE5F0FE"/>
        </patternFill>
      </fill>
    </dxf>
    <dxf>
      <font>
        <b/>
        <color rgb="FF12805C"/>
      </font>
      <fill>
        <patternFill patternType="solid">
          <bgColor rgb="FFE5F4ED"/>
        </patternFill>
      </fill>
    </dxf>
    <dxf>
      <font>
        <b/>
        <color rgb="FF12805C"/>
      </font>
      <fill>
        <patternFill patternType="solid">
          <bgColor rgb="FFE5F4ED"/>
        </patternFill>
      </fill>
    </dxf>
    <dxf>
      <font>
        <b/>
        <color rgb="FFA36B10"/>
      </font>
      <fill>
        <patternFill patternType="solid">
          <bgColor rgb="FFFFF3D9"/>
        </patternFill>
      </fill>
    </dxf>
    <dxf>
      <font>
        <b/>
        <color rgb="FF63758D"/>
      </font>
      <fill>
        <patternFill patternType="solid">
          <bgColor rgb="FFEBEEF3"/>
        </patternFill>
      </fill>
    </dxf>
    <dxf>
      <font>
        <b/>
        <color rgb="FF63758D"/>
      </font>
      <fill>
        <patternFill patternType="solid">
          <bgColor rgb="FFEBEEF3"/>
        </patternFill>
      </fill>
    </dxf>
    <dxf>
      <font>
        <b/>
        <color rgb="FF7257D9"/>
      </font>
      <fill>
        <patternFill patternType="solid">
          <bgColor rgb="FFEEE9FD"/>
        </patternFill>
      </fill>
    </dxf>
    <dxf>
      <font>
        <b/>
        <color rgb="FF7257D9"/>
      </font>
      <fill>
        <patternFill patternType="solid">
          <bgColor rgb="FFEEE9FD"/>
        </patternFill>
      </fill>
    </dxf>
    <dxf>
      <font>
        <b/>
        <color rgb="FFA36B10"/>
      </font>
      <fill>
        <patternFill patternType="solid">
          <bgColor rgb="FFFFF3D9"/>
        </patternFill>
      </fill>
    </dxf>
    <dxf>
      <font>
        <b/>
        <color rgb="FFA36B10"/>
      </font>
      <fill>
        <patternFill patternType="solid">
          <bgColor rgb="FFFFF3D9"/>
        </patternFill>
      </fill>
    </dxf>
    <dxf>
      <font>
        <b/>
        <color rgb="FFA36B10"/>
      </font>
      <fill>
        <patternFill patternType="solid">
          <bgColor rgb="FFFFF3D9"/>
        </patternFill>
      </fill>
    </dxf>
    <dxf>
      <font>
        <b/>
        <color rgb="FFC4404A"/>
      </font>
      <fill>
        <patternFill patternType="solid">
          <bgColor rgb="FFFCE9EB"/>
        </patternFill>
      </fill>
    </dxf>
    <dxf>
      <font>
        <b/>
        <color rgb="FFC4404A"/>
      </font>
      <fill>
        <patternFill patternType="solid">
          <bgColor rgb="FFFCE9EB"/>
        </patternFill>
      </fill>
    </dxf>
    <dxf>
      <font>
        <b/>
        <color rgb="FF1375D6"/>
      </font>
      <fill>
        <patternFill patternType="solid">
          <bgColor rgb="FFE5F0FE"/>
        </patternFill>
      </fill>
    </dxf>
    <dxf>
      <font>
        <b/>
        <color rgb="FF12805C"/>
      </font>
      <fill>
        <patternFill patternType="solid">
          <bgColor rgb="FFE5F4ED"/>
        </patternFill>
      </fill>
    </dxf>
    <dxf>
      <font>
        <b/>
        <color rgb="FF12805C"/>
      </font>
      <fill>
        <patternFill patternType="solid">
          <bgColor rgb="FFE5F4ED"/>
        </patternFill>
      </fill>
    </dxf>
    <dxf>
      <font>
        <b/>
        <color rgb="FF12805C"/>
      </font>
      <fill>
        <patternFill patternType="solid">
          <bgColor rgb="FFE5F4ED"/>
        </patternFill>
      </fill>
    </dxf>
    <dxf>
      <font>
        <b/>
        <color rgb="FF12805C"/>
      </font>
      <fill>
        <patternFill patternType="solid">
          <bgColor rgb="FFE5F4ED"/>
        </patternFill>
      </fill>
    </dxf>
    <dxf>
      <font>
        <b/>
        <color rgb="FF64748B"/>
      </font>
      <fill>
        <patternFill>
          <bgColor rgb="FFF1F5F9"/>
        </patternFill>
      </fill>
    </dxf>
    <dxf>
      <font>
        <b/>
        <color rgb="FFC2413A"/>
      </font>
      <fill>
        <patternFill>
          <bgColor rgb="FFFFF0F0"/>
        </patternFill>
      </fill>
    </dxf>
    <dxf>
      <font>
        <b/>
        <color rgb="FFC2413A"/>
      </font>
      <fill>
        <patternFill>
          <bgColor rgb="FFFFF0F0"/>
        </patternFill>
      </fill>
    </dxf>
    <dxf>
      <font>
        <b/>
        <color rgb="FFB7791F"/>
      </font>
      <fill>
        <patternFill>
          <bgColor rgb="FFFFF8E6"/>
        </patternFill>
      </fill>
    </dxf>
    <dxf>
      <font>
        <b/>
        <color rgb="FFB7791F"/>
      </font>
      <fill>
        <patternFill>
          <bgColor rgb="FFFFF8E6"/>
        </patternFill>
      </fill>
    </dxf>
    <dxf>
      <font>
        <b/>
        <color rgb="FFB7791F"/>
      </font>
      <fill>
        <patternFill>
          <bgColor rgb="FFFFF8E6"/>
        </patternFill>
      </fill>
    </dxf>
    <dxf>
      <font>
        <b/>
        <color rgb="FF6D5BD0"/>
      </font>
      <fill>
        <patternFill>
          <bgColor rgb="FFF4F0FF"/>
        </patternFill>
      </fill>
    </dxf>
    <dxf>
      <font>
        <b/>
        <color rgb="FF6D5BD0"/>
      </font>
      <fill>
        <patternFill>
          <bgColor rgb="FFF4F0FF"/>
        </patternFill>
      </fill>
    </dxf>
    <dxf>
      <font>
        <b/>
        <color rgb="FF2563EB"/>
      </font>
      <fill>
        <patternFill>
          <bgColor rgb="FFEEF5FF"/>
        </patternFill>
      </fill>
    </dxf>
    <dxf>
      <font>
        <b/>
        <color rgb="FF15803D"/>
      </font>
      <fill>
        <patternFill>
          <bgColor rgb="FFECFDF3"/>
        </patternFill>
      </fill>
    </dxf>
    <dxf>
      <font>
        <b/>
        <color rgb="FF15803D"/>
      </font>
      <fill>
        <patternFill>
          <bgColor rgb="FFECFDF3"/>
        </patternFill>
      </fill>
    </dxf>
    <dxf>
      <font>
        <b/>
        <color rgb="FF15803D"/>
      </font>
      <fill>
        <patternFill>
          <bgColor rgb="FFECFDF3"/>
        </patternFill>
      </fill>
    </dxf>
    <dxf>
      <font>
        <b/>
        <color rgb="FF15803D"/>
      </font>
      <fill>
        <patternFill>
          <bgColor rgb="FFECFDF3"/>
        </patternFill>
      </fill>
    </dxf>
    <dxf>
      <font>
        <b/>
        <color rgb="FF9A6700"/>
      </font>
      <fill>
        <patternFill>
          <bgColor rgb="FFFFF8E1"/>
        </patternFill>
      </fill>
    </dxf>
    <dxf>
      <font>
        <b/>
        <color rgb="FF2E7D32"/>
      </font>
      <fill>
        <patternFill>
          <bgColor rgb="FFE8F5E9"/>
        </patternFill>
      </fill>
    </dxf>
    <dxf>
      <font>
        <b/>
        <color rgb="FF2E7D32"/>
      </font>
      <fill>
        <patternFill>
          <bgColor rgb="FFE8F5E9"/>
        </patternFill>
      </fill>
    </dxf>
    <dxf>
      <font>
        <b/>
        <color rgb="FFC62828"/>
      </font>
      <fill>
        <patternFill>
          <bgColor rgb="FFFFEBEE"/>
        </patternFill>
      </fill>
    </dxf>
    <dxf>
      <font>
        <b/>
        <color rgb="FF64748B"/>
      </font>
      <fill>
        <patternFill>
          <bgColor rgb="FFF1F5F9"/>
        </patternFill>
      </fill>
    </dxf>
    <dxf>
      <font>
        <b/>
        <color rgb="FFC2413A"/>
      </font>
      <fill>
        <patternFill>
          <bgColor rgb="FFFFF0F0"/>
        </patternFill>
      </fill>
    </dxf>
    <dxf>
      <font>
        <b/>
        <color rgb="FFC2413A"/>
      </font>
      <fill>
        <patternFill>
          <bgColor rgb="FFFFF0F0"/>
        </patternFill>
      </fill>
    </dxf>
    <dxf>
      <font>
        <b/>
        <color rgb="FFB7791F"/>
      </font>
      <fill>
        <patternFill>
          <bgColor rgb="FFFFF8E6"/>
        </patternFill>
      </fill>
    </dxf>
    <dxf>
      <font>
        <b/>
        <color rgb="FFB7791F"/>
      </font>
      <fill>
        <patternFill>
          <bgColor rgb="FFFFF8E6"/>
        </patternFill>
      </fill>
    </dxf>
    <dxf>
      <font>
        <b/>
        <color rgb="FF6D5BD0"/>
      </font>
      <fill>
        <patternFill>
          <bgColor rgb="FFF4F0FF"/>
        </patternFill>
      </fill>
    </dxf>
    <dxf>
      <font>
        <b/>
        <color rgb="FF6D5BD0"/>
      </font>
      <fill>
        <patternFill>
          <bgColor rgb="FFF4F0FF"/>
        </patternFill>
      </fill>
    </dxf>
    <dxf>
      <font>
        <b/>
        <color rgb="FF2563EB"/>
      </font>
      <fill>
        <patternFill>
          <bgColor rgb="FFEEF5FF"/>
        </patternFill>
      </fill>
    </dxf>
    <dxf>
      <font>
        <b/>
        <color rgb="FF15803D"/>
      </font>
      <fill>
        <patternFill>
          <bgColor rgb="FFECFDF3"/>
        </patternFill>
      </fill>
    </dxf>
    <dxf>
      <font>
        <b/>
        <color rgb="FFB7791F"/>
      </font>
      <fill>
        <patternFill>
          <bgColor rgb="FFFFF8E6"/>
        </patternFill>
      </fill>
    </dxf>
    <dxf>
      <font>
        <b/>
        <color rgb="FF15803D"/>
      </font>
      <fill>
        <patternFill>
          <bgColor rgb="FFECFDF3"/>
        </patternFill>
      </fill>
    </dxf>
    <dxf>
      <font>
        <b/>
        <color rgb="FF15803D"/>
      </font>
      <fill>
        <patternFill>
          <bgColor rgb="FFECFDF3"/>
        </patternFill>
      </fill>
    </dxf>
    <dxf>
      <font>
        <b/>
        <color rgb="FF15803D"/>
      </font>
      <fill>
        <patternFill>
          <bgColor rgb="FFECFDF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LearnerFlowFixed" displayName="LearnerFlowFixed" ref="A16:C27" totalsRowShown="0">
  <tableColumns count="3">
    <tableColumn id="1" xr3:uid="{00000000-0010-0000-0000-000001000000}" name="Bước"/>
    <tableColumn id="2" xr3:uid="{00000000-0010-0000-0000-000002000000}" name="Nghiệp vụ"/>
    <tableColumn id="3" xr3:uid="{00000000-0010-0000-0000-000003000000}" name="Hệ thống làm gì"/>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RoadmapFixedTable" displayName="RoadmapFixedTable" ref="A4:F22" totalsRowShown="0">
  <tableColumns count="6">
    <tableColumn id="1" xr3:uid="{00000000-0010-0000-0100-000001000000}" name="Phase"/>
    <tableColumn id="2" xr3:uid="{00000000-0010-0000-0100-000002000000}" name="Tên phase"/>
    <tableColumn id="3" xr3:uid="{00000000-0010-0000-0100-000003000000}" name="Mục tiêu"/>
    <tableColumn id="4" xr3:uid="{00000000-0010-0000-0100-000004000000}" name="Phải đạt trước khi đóng"/>
    <tableColumn id="5" xr3:uid="{00000000-0010-0000-0100-000005000000}" name="Trạng thái"/>
    <tableColumn id="6" xr3:uid="{00000000-0010-0000-0100-000006000000}" name="Ghi chú hiện tại"/>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DailyTasksTable" displayName="DailyTasksTable" ref="A4:N17" totalsRowShown="0">
  <tableColumns count="14">
    <tableColumn id="1" xr3:uid="{00000000-0010-0000-0200-000001000000}" name="Task ID"/>
    <tableColumn id="2" xr3:uid="{00000000-0010-0000-0200-000002000000}" name="Phase"/>
    <tableColumn id="3" xr3:uid="{00000000-0010-0000-0200-000003000000}" name="Nhóm"/>
    <tableColumn id="4" xr3:uid="{00000000-0010-0000-0200-000004000000}" name="Công việc"/>
    <tableColumn id="5" xr3:uid="{00000000-0010-0000-0200-000005000000}" name="Ưu tiên"/>
    <tableColumn id="6" xr3:uid="{00000000-0010-0000-0200-000006000000}" name="Trạng thái"/>
    <tableColumn id="7" xr3:uid="{00000000-0010-0000-0200-000007000000}" name="Phụ trách"/>
    <tableColumn id="8" xr3:uid="{00000000-0010-0000-0200-000008000000}" name="Người kiểm tra"/>
    <tableColumn id="9" xr3:uid="{00000000-0010-0000-0200-000009000000}" name="Hạn hoàn thành"/>
    <tableColumn id="10" xr3:uid="{00000000-0010-0000-0200-00000A000000}" name="Cập nhật cuối"/>
    <tableColumn id="11" xr3:uid="{00000000-0010-0000-0200-00000B000000}" name="Phụ thuộc"/>
    <tableColumn id="12" xr3:uid="{00000000-0010-0000-0200-00000C000000}" name="Việc tiếp theo"/>
    <tableColumn id="13" xr3:uid="{00000000-0010-0000-0200-00000D000000}" name="Bằng chứng"/>
    <tableColumn id="14" xr3:uid="{00000000-0010-0000-0200-00000E000000}" name="Ghi chú team"/>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IssuesFixedTable" displayName="IssuesFixedTable" ref="A5:J14" totalsRowShown="0">
  <tableColumns count="10">
    <tableColumn id="1" xr3:uid="{00000000-0010-0000-0300-000001000000}" name="ID"/>
    <tableColumn id="2" xr3:uid="{00000000-0010-0000-0300-000002000000}" name="Tên vấn đề"/>
    <tableColumn id="3" xr3:uid="{00000000-0010-0000-0300-000003000000}" name="Mô tả"/>
    <tableColumn id="4" xr3:uid="{00000000-0010-0000-0300-000004000000}" name="Trạng thái"/>
    <tableColumn id="5" xr3:uid="{00000000-0010-0000-0300-000005000000}" name="Ưu tiên"/>
    <tableColumn id="6" xr3:uid="{00000000-0010-0000-0300-000006000000}" name="Phụ trách"/>
    <tableColumn id="7" xr3:uid="{00000000-0010-0000-0300-000007000000}" name="Task liên quan"/>
    <tableColumn id="8" xr3:uid="{00000000-0010-0000-0300-000008000000}" name="Cách xử lý"/>
    <tableColumn id="9" xr3:uid="{00000000-0010-0000-0300-000009000000}" name="Bằng chứng / Commit"/>
    <tableColumn id="10" xr3:uid="{00000000-0010-0000-0300-00000A000000}" name="Cập nhật cuối"/>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EvidenceFixedTable" displayName="EvidenceFixedTable" ref="A4:H19" totalsRowShown="0">
  <tableColumns count="8">
    <tableColumn id="1" xr3:uid="{00000000-0010-0000-0400-000001000000}" name="ID"/>
    <tableColumn id="2" xr3:uid="{00000000-0010-0000-0400-000002000000}" name="Khu vực"/>
    <tableColumn id="3" xr3:uid="{00000000-0010-0000-0400-000003000000}" name="Kiểm tra"/>
    <tableColumn id="4" xr3:uid="{00000000-0010-0000-0400-000004000000}" name="Kết quả quan sát"/>
    <tableColumn id="5" xr3:uid="{00000000-0010-0000-0400-000005000000}" name="Trạng thái"/>
    <tableColumn id="6" xr3:uid="{00000000-0010-0000-0400-000006000000}" name="Ngày"/>
    <tableColumn id="7" xr3:uid="{00000000-0010-0000-0400-000007000000}" name="Nguồn"/>
    <tableColumn id="8" xr3:uid="{00000000-0010-0000-0400-000008000000}" name="Phạm vi / Giới hạ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02D50"/>
  </sheetPr>
  <dimension ref="A1:S82"/>
  <sheetViews>
    <sheetView showGridLines="0" tabSelected="1" workbookViewId="0"/>
  </sheetViews>
  <sheetFormatPr defaultRowHeight="13.8"/>
  <cols>
    <col min="1" max="1" width="3.09765625" customWidth="1"/>
    <col min="2" max="18" width="8" customWidth="1"/>
    <col min="19" max="19" width="3.09765625" customWidth="1"/>
  </cols>
  <sheetData>
    <row r="1" spans="1:19" ht="24" customHeight="1">
      <c r="A1" s="5"/>
      <c r="B1" s="5"/>
      <c r="C1" s="5"/>
      <c r="D1" s="5"/>
      <c r="E1" s="5"/>
      <c r="F1" s="5"/>
      <c r="G1" s="5"/>
      <c r="H1" s="5"/>
      <c r="I1" s="5"/>
      <c r="J1" s="5"/>
      <c r="K1" s="5"/>
      <c r="L1" s="5"/>
      <c r="M1" s="5"/>
      <c r="N1" s="5"/>
      <c r="O1" s="5"/>
      <c r="P1" s="5"/>
      <c r="Q1" s="5"/>
      <c r="R1" s="5"/>
      <c r="S1" s="5"/>
    </row>
    <row r="2" spans="1:19" ht="24" customHeight="1">
      <c r="A2" s="5"/>
      <c r="B2" s="28" t="s">
        <v>0</v>
      </c>
      <c r="C2" s="28" t="s">
        <v>0</v>
      </c>
      <c r="D2" s="28" t="s">
        <v>0</v>
      </c>
      <c r="E2" s="28" t="s">
        <v>0</v>
      </c>
      <c r="F2" s="28" t="s">
        <v>0</v>
      </c>
      <c r="G2" s="28" t="s">
        <v>0</v>
      </c>
      <c r="H2" s="28" t="s">
        <v>0</v>
      </c>
      <c r="I2" s="28" t="s">
        <v>0</v>
      </c>
      <c r="J2" s="28" t="s">
        <v>0</v>
      </c>
      <c r="K2" s="28" t="s">
        <v>0</v>
      </c>
      <c r="L2" s="28" t="s">
        <v>0</v>
      </c>
      <c r="M2" s="5"/>
      <c r="N2" s="5"/>
      <c r="O2" s="5"/>
      <c r="P2" s="5"/>
      <c r="Q2" s="5"/>
      <c r="R2" s="5"/>
      <c r="S2" s="5"/>
    </row>
    <row r="3" spans="1:19" ht="24" customHeight="1">
      <c r="A3" s="5"/>
      <c r="B3" s="28" t="s">
        <v>0</v>
      </c>
      <c r="C3" s="28" t="s">
        <v>0</v>
      </c>
      <c r="D3" s="28" t="s">
        <v>0</v>
      </c>
      <c r="E3" s="28" t="s">
        <v>0</v>
      </c>
      <c r="F3" s="28" t="s">
        <v>0</v>
      </c>
      <c r="G3" s="28" t="s">
        <v>0</v>
      </c>
      <c r="H3" s="28" t="s">
        <v>0</v>
      </c>
      <c r="I3" s="28" t="s">
        <v>0</v>
      </c>
      <c r="J3" s="28" t="s">
        <v>0</v>
      </c>
      <c r="K3" s="28" t="s">
        <v>0</v>
      </c>
      <c r="L3" s="28" t="s">
        <v>0</v>
      </c>
      <c r="M3" s="5"/>
      <c r="N3" s="5"/>
      <c r="O3" s="5"/>
      <c r="P3" s="5"/>
      <c r="Q3" s="5"/>
      <c r="R3" s="5"/>
      <c r="S3" s="5"/>
    </row>
    <row r="4" spans="1:19" ht="24" customHeight="1">
      <c r="A4" s="5"/>
      <c r="B4" s="29" t="s">
        <v>1</v>
      </c>
      <c r="C4" s="29" t="s">
        <v>1</v>
      </c>
      <c r="D4" s="29" t="s">
        <v>1</v>
      </c>
      <c r="E4" s="29" t="s">
        <v>1</v>
      </c>
      <c r="F4" s="29" t="s">
        <v>1</v>
      </c>
      <c r="G4" s="29" t="s">
        <v>1</v>
      </c>
      <c r="H4" s="29" t="s">
        <v>1</v>
      </c>
      <c r="I4" s="29" t="s">
        <v>1</v>
      </c>
      <c r="J4" s="29" t="s">
        <v>1</v>
      </c>
      <c r="K4" s="29" t="s">
        <v>1</v>
      </c>
      <c r="L4" s="29" t="s">
        <v>1</v>
      </c>
      <c r="M4" s="29" t="s">
        <v>1</v>
      </c>
      <c r="N4" s="29" t="s">
        <v>1</v>
      </c>
      <c r="O4" s="29" t="s">
        <v>1</v>
      </c>
      <c r="P4" s="29" t="s">
        <v>1</v>
      </c>
      <c r="Q4" s="29" t="s">
        <v>1</v>
      </c>
      <c r="R4" s="29" t="s">
        <v>1</v>
      </c>
      <c r="S4" s="5"/>
    </row>
    <row r="5" spans="1:19" ht="24" customHeight="1">
      <c r="A5" s="5"/>
      <c r="B5" s="5"/>
      <c r="C5" s="5"/>
      <c r="D5" s="5"/>
      <c r="E5" s="5"/>
      <c r="F5" s="5"/>
      <c r="G5" s="5"/>
      <c r="H5" s="5"/>
      <c r="I5" s="5"/>
      <c r="J5" s="5"/>
      <c r="K5" s="5"/>
      <c r="L5" s="5"/>
      <c r="M5" s="5"/>
      <c r="N5" s="5"/>
      <c r="O5" s="5"/>
      <c r="P5" s="5"/>
      <c r="Q5" s="5"/>
      <c r="R5" s="5"/>
      <c r="S5" s="5"/>
    </row>
    <row r="6" spans="1:19" ht="24" customHeight="1">
      <c r="A6" s="5"/>
      <c r="B6" s="30" t="s">
        <v>2</v>
      </c>
      <c r="C6" s="30" t="s">
        <v>2</v>
      </c>
      <c r="D6" s="30" t="s">
        <v>2</v>
      </c>
      <c r="E6" s="30" t="s">
        <v>2</v>
      </c>
      <c r="F6" s="30" t="s">
        <v>2</v>
      </c>
      <c r="G6" s="30" t="s">
        <v>2</v>
      </c>
      <c r="H6" s="30" t="s">
        <v>2</v>
      </c>
      <c r="I6" s="30" t="s">
        <v>2</v>
      </c>
      <c r="J6" s="30" t="s">
        <v>2</v>
      </c>
      <c r="K6" s="30" t="s">
        <v>2</v>
      </c>
      <c r="L6" s="30" t="s">
        <v>2</v>
      </c>
      <c r="M6" s="30" t="s">
        <v>2</v>
      </c>
      <c r="N6" s="30" t="s">
        <v>2</v>
      </c>
      <c r="O6" s="30" t="s">
        <v>2</v>
      </c>
      <c r="P6" s="30" t="s">
        <v>2</v>
      </c>
      <c r="Q6" s="30" t="s">
        <v>2</v>
      </c>
      <c r="R6" s="30" t="s">
        <v>2</v>
      </c>
      <c r="S6" s="5"/>
    </row>
    <row r="7" spans="1:19" ht="24" customHeight="1">
      <c r="A7" s="5"/>
      <c r="B7" s="30" t="s">
        <v>2</v>
      </c>
      <c r="C7" s="30" t="s">
        <v>2</v>
      </c>
      <c r="D7" s="30" t="s">
        <v>2</v>
      </c>
      <c r="E7" s="30" t="s">
        <v>2</v>
      </c>
      <c r="F7" s="30" t="s">
        <v>2</v>
      </c>
      <c r="G7" s="30" t="s">
        <v>2</v>
      </c>
      <c r="H7" s="30" t="s">
        <v>2</v>
      </c>
      <c r="I7" s="30" t="s">
        <v>2</v>
      </c>
      <c r="J7" s="30" t="s">
        <v>2</v>
      </c>
      <c r="K7" s="30" t="s">
        <v>2</v>
      </c>
      <c r="L7" s="30" t="s">
        <v>2</v>
      </c>
      <c r="M7" s="30" t="s">
        <v>2</v>
      </c>
      <c r="N7" s="30" t="s">
        <v>2</v>
      </c>
      <c r="O7" s="30" t="s">
        <v>2</v>
      </c>
      <c r="P7" s="30" t="s">
        <v>2</v>
      </c>
      <c r="Q7" s="30" t="s">
        <v>2</v>
      </c>
      <c r="R7" s="30" t="s">
        <v>2</v>
      </c>
      <c r="S7" s="5"/>
    </row>
    <row r="8" spans="1:19" ht="24" customHeight="1">
      <c r="A8" s="5"/>
      <c r="B8" s="5"/>
      <c r="C8" s="5"/>
      <c r="D8" s="5"/>
      <c r="E8" s="5"/>
      <c r="F8" s="5"/>
      <c r="G8" s="5"/>
      <c r="H8" s="5"/>
      <c r="I8" s="5"/>
      <c r="J8" s="5"/>
      <c r="K8" s="5"/>
      <c r="L8" s="5"/>
      <c r="M8" s="5"/>
      <c r="N8" s="5"/>
      <c r="O8" s="5"/>
      <c r="P8" s="5"/>
      <c r="Q8" s="5"/>
      <c r="R8" s="5"/>
      <c r="S8" s="5"/>
    </row>
    <row r="9" spans="1:19" ht="36" customHeight="1">
      <c r="A9" s="5"/>
      <c r="B9" s="31" t="s">
        <v>3</v>
      </c>
      <c r="C9" s="32" t="s">
        <v>3</v>
      </c>
      <c r="D9" s="32" t="s">
        <v>3</v>
      </c>
      <c r="E9" s="32" t="s">
        <v>3</v>
      </c>
      <c r="F9" s="33" t="s">
        <v>3</v>
      </c>
      <c r="G9" s="5"/>
      <c r="H9" s="46" t="s">
        <v>4</v>
      </c>
      <c r="I9" s="47" t="s">
        <v>4</v>
      </c>
      <c r="J9" s="47" t="s">
        <v>4</v>
      </c>
      <c r="K9" s="47" t="s">
        <v>4</v>
      </c>
      <c r="L9" s="48" t="s">
        <v>4</v>
      </c>
      <c r="M9" s="5"/>
      <c r="N9" s="55" t="s">
        <v>5</v>
      </c>
      <c r="O9" s="56" t="s">
        <v>5</v>
      </c>
      <c r="P9" s="56" t="s">
        <v>5</v>
      </c>
      <c r="Q9" s="56" t="s">
        <v>5</v>
      </c>
      <c r="R9" s="57" t="s">
        <v>5</v>
      </c>
      <c r="S9" s="5"/>
    </row>
    <row r="10" spans="1:19" ht="24" customHeight="1">
      <c r="A10" s="5"/>
      <c r="B10" s="34" t="s">
        <v>6</v>
      </c>
      <c r="C10" s="35" t="s">
        <v>6</v>
      </c>
      <c r="D10" s="35" t="s">
        <v>6</v>
      </c>
      <c r="E10" s="35" t="s">
        <v>6</v>
      </c>
      <c r="F10" s="36" t="s">
        <v>6</v>
      </c>
      <c r="G10" s="5"/>
      <c r="H10" s="34" t="s">
        <v>7</v>
      </c>
      <c r="I10" s="35" t="s">
        <v>7</v>
      </c>
      <c r="J10" s="35" t="s">
        <v>7</v>
      </c>
      <c r="K10" s="35" t="s">
        <v>7</v>
      </c>
      <c r="L10" s="36" t="s">
        <v>7</v>
      </c>
      <c r="M10" s="5"/>
      <c r="N10" s="34" t="s">
        <v>8</v>
      </c>
      <c r="O10" s="35" t="s">
        <v>8</v>
      </c>
      <c r="P10" s="35" t="s">
        <v>8</v>
      </c>
      <c r="Q10" s="35" t="s">
        <v>8</v>
      </c>
      <c r="R10" s="36" t="s">
        <v>8</v>
      </c>
      <c r="S10" s="5"/>
    </row>
    <row r="11" spans="1:19" ht="24" customHeight="1">
      <c r="A11" s="5"/>
      <c r="B11" s="34" t="s">
        <v>6</v>
      </c>
      <c r="C11" s="35" t="s">
        <v>6</v>
      </c>
      <c r="D11" s="35" t="s">
        <v>6</v>
      </c>
      <c r="E11" s="35" t="s">
        <v>6</v>
      </c>
      <c r="F11" s="36" t="s">
        <v>6</v>
      </c>
      <c r="G11" s="5"/>
      <c r="H11" s="34" t="s">
        <v>7</v>
      </c>
      <c r="I11" s="35" t="s">
        <v>7</v>
      </c>
      <c r="J11" s="35" t="s">
        <v>7</v>
      </c>
      <c r="K11" s="35" t="s">
        <v>7</v>
      </c>
      <c r="L11" s="36" t="s">
        <v>7</v>
      </c>
      <c r="M11" s="5"/>
      <c r="N11" s="34" t="s">
        <v>8</v>
      </c>
      <c r="O11" s="35" t="s">
        <v>8</v>
      </c>
      <c r="P11" s="35" t="s">
        <v>8</v>
      </c>
      <c r="Q11" s="35" t="s">
        <v>8</v>
      </c>
      <c r="R11" s="36" t="s">
        <v>8</v>
      </c>
      <c r="S11" s="5"/>
    </row>
    <row r="12" spans="1:19" ht="24" customHeight="1">
      <c r="A12" s="5"/>
      <c r="B12" s="34" t="s">
        <v>6</v>
      </c>
      <c r="C12" s="35" t="s">
        <v>6</v>
      </c>
      <c r="D12" s="35" t="s">
        <v>6</v>
      </c>
      <c r="E12" s="35" t="s">
        <v>6</v>
      </c>
      <c r="F12" s="36" t="s">
        <v>6</v>
      </c>
      <c r="G12" s="5"/>
      <c r="H12" s="34" t="s">
        <v>7</v>
      </c>
      <c r="I12" s="35" t="s">
        <v>7</v>
      </c>
      <c r="J12" s="35" t="s">
        <v>7</v>
      </c>
      <c r="K12" s="35" t="s">
        <v>7</v>
      </c>
      <c r="L12" s="36" t="s">
        <v>7</v>
      </c>
      <c r="M12" s="5"/>
      <c r="N12" s="34" t="s">
        <v>8</v>
      </c>
      <c r="O12" s="35" t="s">
        <v>8</v>
      </c>
      <c r="P12" s="35" t="s">
        <v>8</v>
      </c>
      <c r="Q12" s="35" t="s">
        <v>8</v>
      </c>
      <c r="R12" s="36" t="s">
        <v>8</v>
      </c>
      <c r="S12" s="5"/>
    </row>
    <row r="13" spans="1:19" ht="24" customHeight="1">
      <c r="A13" s="5"/>
      <c r="B13" s="37" t="s">
        <v>9</v>
      </c>
      <c r="C13" s="38" t="s">
        <v>9</v>
      </c>
      <c r="D13" s="38" t="s">
        <v>9</v>
      </c>
      <c r="E13" s="38" t="s">
        <v>9</v>
      </c>
      <c r="F13" s="39" t="s">
        <v>9</v>
      </c>
      <c r="G13" s="5"/>
      <c r="H13" s="37" t="s">
        <v>10</v>
      </c>
      <c r="I13" s="38" t="s">
        <v>10</v>
      </c>
      <c r="J13" s="38" t="s">
        <v>10</v>
      </c>
      <c r="K13" s="38" t="s">
        <v>10</v>
      </c>
      <c r="L13" s="39" t="s">
        <v>10</v>
      </c>
      <c r="M13" s="5"/>
      <c r="N13" s="37" t="s">
        <v>11</v>
      </c>
      <c r="O13" s="38" t="s">
        <v>11</v>
      </c>
      <c r="P13" s="38" t="s">
        <v>11</v>
      </c>
      <c r="Q13" s="38" t="s">
        <v>11</v>
      </c>
      <c r="R13" s="39" t="s">
        <v>11</v>
      </c>
      <c r="S13" s="5"/>
    </row>
    <row r="14" spans="1:19" ht="24" customHeight="1">
      <c r="A14" s="5"/>
      <c r="B14" s="40" t="str">
        <f>HYPERLINK("#'01_TONG_QUAN'!A1","Mở Tổng quan  →")</f>
        <v>Mở Tổng quan  →</v>
      </c>
      <c r="C14" s="41"/>
      <c r="D14" s="41"/>
      <c r="E14" s="41"/>
      <c r="F14" s="42"/>
      <c r="G14" s="5"/>
      <c r="H14" s="49" t="str">
        <f>HYPERLINK("#'02_SAN_PHAM'!A1","Mở Sản phẩm  →")</f>
        <v>Mở Sản phẩm  →</v>
      </c>
      <c r="I14" s="50"/>
      <c r="J14" s="50"/>
      <c r="K14" s="50"/>
      <c r="L14" s="51"/>
      <c r="M14" s="5"/>
      <c r="N14" s="58" t="str">
        <f>HYPERLINK("#'03_ROADMAP'!A1","Mở Roadmap  →")</f>
        <v>Mở Roadmap  →</v>
      </c>
      <c r="O14" s="59"/>
      <c r="P14" s="59"/>
      <c r="Q14" s="59"/>
      <c r="R14" s="60"/>
      <c r="S14" s="5"/>
    </row>
    <row r="15" spans="1:19" ht="24" customHeight="1">
      <c r="A15" s="5"/>
      <c r="B15" s="43"/>
      <c r="C15" s="44"/>
      <c r="D15" s="44"/>
      <c r="E15" s="44"/>
      <c r="F15" s="45"/>
      <c r="G15" s="5"/>
      <c r="H15" s="52"/>
      <c r="I15" s="53"/>
      <c r="J15" s="53"/>
      <c r="K15" s="53"/>
      <c r="L15" s="54"/>
      <c r="M15" s="5"/>
      <c r="N15" s="61"/>
      <c r="O15" s="62"/>
      <c r="P15" s="62"/>
      <c r="Q15" s="62"/>
      <c r="R15" s="63"/>
      <c r="S15" s="5"/>
    </row>
    <row r="16" spans="1:19" ht="24" customHeight="1">
      <c r="A16" s="5"/>
      <c r="B16" s="5"/>
      <c r="C16" s="5"/>
      <c r="D16" s="5"/>
      <c r="E16" s="5"/>
      <c r="F16" s="5"/>
      <c r="G16" s="5"/>
      <c r="H16" s="5"/>
      <c r="I16" s="5"/>
      <c r="J16" s="5"/>
      <c r="K16" s="5"/>
      <c r="L16" s="5"/>
      <c r="M16" s="5"/>
      <c r="N16" s="5"/>
      <c r="O16" s="5"/>
      <c r="P16" s="5"/>
      <c r="Q16" s="5"/>
      <c r="R16" s="5"/>
      <c r="S16" s="5"/>
    </row>
    <row r="17" spans="1:19" ht="36" customHeight="1">
      <c r="A17" s="5"/>
      <c r="B17" s="64" t="s">
        <v>12</v>
      </c>
      <c r="C17" s="65" t="s">
        <v>12</v>
      </c>
      <c r="D17" s="65" t="s">
        <v>12</v>
      </c>
      <c r="E17" s="65" t="s">
        <v>12</v>
      </c>
      <c r="F17" s="66" t="s">
        <v>12</v>
      </c>
      <c r="G17" s="5"/>
      <c r="H17" s="73" t="s">
        <v>13</v>
      </c>
      <c r="I17" s="74" t="s">
        <v>13</v>
      </c>
      <c r="J17" s="74" t="s">
        <v>13</v>
      </c>
      <c r="K17" s="74" t="s">
        <v>13</v>
      </c>
      <c r="L17" s="75" t="s">
        <v>13</v>
      </c>
      <c r="M17" s="5"/>
      <c r="N17" s="82" t="s">
        <v>14</v>
      </c>
      <c r="O17" s="83" t="s">
        <v>14</v>
      </c>
      <c r="P17" s="83" t="s">
        <v>14</v>
      </c>
      <c r="Q17" s="83" t="s">
        <v>14</v>
      </c>
      <c r="R17" s="84" t="s">
        <v>14</v>
      </c>
      <c r="S17" s="5"/>
    </row>
    <row r="18" spans="1:19" ht="24" customHeight="1">
      <c r="A18" s="5"/>
      <c r="B18" s="34" t="s">
        <v>15</v>
      </c>
      <c r="C18" s="35" t="s">
        <v>15</v>
      </c>
      <c r="D18" s="35" t="s">
        <v>15</v>
      </c>
      <c r="E18" s="35" t="s">
        <v>15</v>
      </c>
      <c r="F18" s="36" t="s">
        <v>15</v>
      </c>
      <c r="G18" s="5"/>
      <c r="H18" s="34" t="s">
        <v>16</v>
      </c>
      <c r="I18" s="35" t="s">
        <v>16</v>
      </c>
      <c r="J18" s="35" t="s">
        <v>16</v>
      </c>
      <c r="K18" s="35" t="s">
        <v>16</v>
      </c>
      <c r="L18" s="36" t="s">
        <v>16</v>
      </c>
      <c r="M18" s="5"/>
      <c r="N18" s="34" t="s">
        <v>17</v>
      </c>
      <c r="O18" s="35" t="s">
        <v>17</v>
      </c>
      <c r="P18" s="35" t="s">
        <v>17</v>
      </c>
      <c r="Q18" s="35" t="s">
        <v>17</v>
      </c>
      <c r="R18" s="36" t="s">
        <v>17</v>
      </c>
      <c r="S18" s="5"/>
    </row>
    <row r="19" spans="1:19" ht="24" customHeight="1">
      <c r="A19" s="5"/>
      <c r="B19" s="34" t="s">
        <v>15</v>
      </c>
      <c r="C19" s="35" t="s">
        <v>15</v>
      </c>
      <c r="D19" s="35" t="s">
        <v>15</v>
      </c>
      <c r="E19" s="35" t="s">
        <v>15</v>
      </c>
      <c r="F19" s="36" t="s">
        <v>15</v>
      </c>
      <c r="G19" s="5"/>
      <c r="H19" s="34" t="s">
        <v>16</v>
      </c>
      <c r="I19" s="35" t="s">
        <v>16</v>
      </c>
      <c r="J19" s="35" t="s">
        <v>16</v>
      </c>
      <c r="K19" s="35" t="s">
        <v>16</v>
      </c>
      <c r="L19" s="36" t="s">
        <v>16</v>
      </c>
      <c r="M19" s="5"/>
      <c r="N19" s="34" t="s">
        <v>17</v>
      </c>
      <c r="O19" s="35" t="s">
        <v>17</v>
      </c>
      <c r="P19" s="35" t="s">
        <v>17</v>
      </c>
      <c r="Q19" s="35" t="s">
        <v>17</v>
      </c>
      <c r="R19" s="36" t="s">
        <v>17</v>
      </c>
      <c r="S19" s="5"/>
    </row>
    <row r="20" spans="1:19" ht="24" customHeight="1">
      <c r="A20" s="5"/>
      <c r="B20" s="34" t="s">
        <v>15</v>
      </c>
      <c r="C20" s="35" t="s">
        <v>15</v>
      </c>
      <c r="D20" s="35" t="s">
        <v>15</v>
      </c>
      <c r="E20" s="35" t="s">
        <v>15</v>
      </c>
      <c r="F20" s="36" t="s">
        <v>15</v>
      </c>
      <c r="G20" s="5"/>
      <c r="H20" s="34" t="s">
        <v>16</v>
      </c>
      <c r="I20" s="35" t="s">
        <v>16</v>
      </c>
      <c r="J20" s="35" t="s">
        <v>16</v>
      </c>
      <c r="K20" s="35" t="s">
        <v>16</v>
      </c>
      <c r="L20" s="36" t="s">
        <v>16</v>
      </c>
      <c r="M20" s="5"/>
      <c r="N20" s="34" t="s">
        <v>17</v>
      </c>
      <c r="O20" s="35" t="s">
        <v>17</v>
      </c>
      <c r="P20" s="35" t="s">
        <v>17</v>
      </c>
      <c r="Q20" s="35" t="s">
        <v>17</v>
      </c>
      <c r="R20" s="36" t="s">
        <v>17</v>
      </c>
      <c r="S20" s="5"/>
    </row>
    <row r="21" spans="1:19" ht="24" customHeight="1">
      <c r="A21" s="5"/>
      <c r="B21" s="37" t="s">
        <v>18</v>
      </c>
      <c r="C21" s="38" t="s">
        <v>18</v>
      </c>
      <c r="D21" s="38" t="s">
        <v>18</v>
      </c>
      <c r="E21" s="38" t="s">
        <v>18</v>
      </c>
      <c r="F21" s="39" t="s">
        <v>18</v>
      </c>
      <c r="G21" s="5"/>
      <c r="H21" s="37" t="s">
        <v>10</v>
      </c>
      <c r="I21" s="38" t="s">
        <v>10</v>
      </c>
      <c r="J21" s="38" t="s">
        <v>10</v>
      </c>
      <c r="K21" s="38" t="s">
        <v>10</v>
      </c>
      <c r="L21" s="39" t="s">
        <v>10</v>
      </c>
      <c r="M21" s="5"/>
      <c r="N21" s="37" t="s">
        <v>19</v>
      </c>
      <c r="O21" s="38" t="s">
        <v>19</v>
      </c>
      <c r="P21" s="38" t="s">
        <v>19</v>
      </c>
      <c r="Q21" s="38" t="s">
        <v>19</v>
      </c>
      <c r="R21" s="39" t="s">
        <v>19</v>
      </c>
      <c r="S21" s="5"/>
    </row>
    <row r="22" spans="1:19" ht="24" customHeight="1">
      <c r="A22" s="5"/>
      <c r="B22" s="67" t="str">
        <f>HYPERLINK("#'04_CONG_VIEC'!A1","Mở Công việc  →")</f>
        <v>Mở Công việc  →</v>
      </c>
      <c r="C22" s="68"/>
      <c r="D22" s="68"/>
      <c r="E22" s="68"/>
      <c r="F22" s="69"/>
      <c r="G22" s="5"/>
      <c r="H22" s="76" t="str">
        <f>HYPERLINK("#'05_VAN_DE_THAY_DOI'!A1","Mở Vấn đề / Thay đổi  →")</f>
        <v>Mở Vấn đề / Thay đổi  →</v>
      </c>
      <c r="I22" s="77"/>
      <c r="J22" s="77"/>
      <c r="K22" s="77"/>
      <c r="L22" s="78"/>
      <c r="M22" s="5"/>
      <c r="N22" s="85" t="str">
        <f>HYPERLINK("#'06_BANG_CHUNG'!A1","Mở Bằng chứng  →")</f>
        <v>Mở Bằng chứng  →</v>
      </c>
      <c r="O22" s="86"/>
      <c r="P22" s="86"/>
      <c r="Q22" s="86"/>
      <c r="R22" s="87"/>
      <c r="S22" s="5"/>
    </row>
    <row r="23" spans="1:19" ht="24" customHeight="1">
      <c r="A23" s="5"/>
      <c r="B23" s="70"/>
      <c r="C23" s="71"/>
      <c r="D23" s="71"/>
      <c r="E23" s="71"/>
      <c r="F23" s="72"/>
      <c r="G23" s="5"/>
      <c r="H23" s="79"/>
      <c r="I23" s="80"/>
      <c r="J23" s="80"/>
      <c r="K23" s="80"/>
      <c r="L23" s="81"/>
      <c r="M23" s="5"/>
      <c r="N23" s="88"/>
      <c r="O23" s="89"/>
      <c r="P23" s="89"/>
      <c r="Q23" s="89"/>
      <c r="R23" s="90"/>
      <c r="S23" s="5"/>
    </row>
    <row r="24" spans="1:19" ht="24" customHeight="1">
      <c r="A24" s="5"/>
      <c r="B24" s="5"/>
      <c r="C24" s="5"/>
      <c r="D24" s="5"/>
      <c r="E24" s="5"/>
      <c r="F24" s="5"/>
      <c r="G24" s="5"/>
      <c r="H24" s="5"/>
      <c r="I24" s="5"/>
      <c r="J24" s="5"/>
      <c r="K24" s="5"/>
      <c r="L24" s="5"/>
      <c r="M24" s="5"/>
      <c r="N24" s="5"/>
      <c r="O24" s="5"/>
      <c r="P24" s="5"/>
      <c r="Q24" s="5"/>
      <c r="R24" s="5"/>
      <c r="S24" s="5"/>
    </row>
    <row r="25" spans="1:19" ht="24" customHeight="1">
      <c r="A25" s="5"/>
      <c r="B25" s="5"/>
      <c r="C25" s="5"/>
      <c r="D25" s="5"/>
      <c r="E25" s="5"/>
      <c r="F25" s="5"/>
      <c r="G25" s="5"/>
      <c r="H25" s="5"/>
      <c r="I25" s="5"/>
      <c r="J25" s="5"/>
      <c r="K25" s="5"/>
      <c r="L25" s="5"/>
      <c r="M25" s="5"/>
      <c r="N25" s="5"/>
      <c r="O25" s="5"/>
      <c r="P25" s="5"/>
      <c r="Q25" s="5"/>
      <c r="R25" s="5"/>
      <c r="S25" s="5"/>
    </row>
    <row r="26" spans="1:19" ht="24" customHeight="1">
      <c r="A26" s="5"/>
      <c r="B26" s="91" t="s">
        <v>20</v>
      </c>
      <c r="C26" s="91" t="s">
        <v>20</v>
      </c>
      <c r="D26" s="91" t="s">
        <v>20</v>
      </c>
      <c r="E26" s="91" t="s">
        <v>20</v>
      </c>
      <c r="F26" s="91" t="s">
        <v>20</v>
      </c>
      <c r="G26" s="91" t="s">
        <v>20</v>
      </c>
      <c r="H26" s="91" t="s">
        <v>20</v>
      </c>
      <c r="I26" s="91" t="s">
        <v>20</v>
      </c>
      <c r="J26" s="91" t="s">
        <v>20</v>
      </c>
      <c r="K26" s="91" t="s">
        <v>20</v>
      </c>
      <c r="L26" s="91" t="s">
        <v>20</v>
      </c>
      <c r="M26" s="91" t="s">
        <v>20</v>
      </c>
      <c r="N26" s="91" t="s">
        <v>20</v>
      </c>
      <c r="O26" s="91" t="s">
        <v>20</v>
      </c>
      <c r="P26" s="91" t="s">
        <v>20</v>
      </c>
      <c r="Q26" s="91" t="s">
        <v>20</v>
      </c>
      <c r="R26" s="91" t="s">
        <v>20</v>
      </c>
      <c r="S26" s="5"/>
    </row>
    <row r="27" spans="1:19" ht="24" customHeight="1">
      <c r="A27" s="5"/>
      <c r="B27" s="91" t="s">
        <v>20</v>
      </c>
      <c r="C27" s="91" t="s">
        <v>20</v>
      </c>
      <c r="D27" s="91" t="s">
        <v>20</v>
      </c>
      <c r="E27" s="91" t="s">
        <v>20</v>
      </c>
      <c r="F27" s="91" t="s">
        <v>20</v>
      </c>
      <c r="G27" s="91" t="s">
        <v>20</v>
      </c>
      <c r="H27" s="91" t="s">
        <v>20</v>
      </c>
      <c r="I27" s="91" t="s">
        <v>20</v>
      </c>
      <c r="J27" s="91" t="s">
        <v>20</v>
      </c>
      <c r="K27" s="91" t="s">
        <v>20</v>
      </c>
      <c r="L27" s="91" t="s">
        <v>20</v>
      </c>
      <c r="M27" s="91" t="s">
        <v>20</v>
      </c>
      <c r="N27" s="91" t="s">
        <v>20</v>
      </c>
      <c r="O27" s="91" t="s">
        <v>20</v>
      </c>
      <c r="P27" s="91" t="s">
        <v>20</v>
      </c>
      <c r="Q27" s="91" t="s">
        <v>20</v>
      </c>
      <c r="R27" s="91" t="s">
        <v>20</v>
      </c>
      <c r="S27" s="5"/>
    </row>
    <row r="28" spans="1:19" ht="24" customHeight="1">
      <c r="A28" s="5"/>
      <c r="B28" s="92">
        <v>1</v>
      </c>
      <c r="C28" s="93" t="s">
        <v>21</v>
      </c>
      <c r="D28" s="93" t="s">
        <v>21</v>
      </c>
      <c r="E28" s="93" t="s">
        <v>21</v>
      </c>
      <c r="F28" s="93" t="s">
        <v>21</v>
      </c>
      <c r="G28" s="93" t="s">
        <v>21</v>
      </c>
      <c r="H28" s="93" t="s">
        <v>21</v>
      </c>
      <c r="I28" s="35" t="s">
        <v>22</v>
      </c>
      <c r="J28" s="35" t="s">
        <v>22</v>
      </c>
      <c r="K28" s="35" t="s">
        <v>22</v>
      </c>
      <c r="L28" s="35" t="s">
        <v>22</v>
      </c>
      <c r="M28" s="35" t="s">
        <v>22</v>
      </c>
      <c r="N28" s="35" t="s">
        <v>22</v>
      </c>
      <c r="O28" s="35" t="s">
        <v>22</v>
      </c>
      <c r="P28" s="35" t="s">
        <v>22</v>
      </c>
      <c r="Q28" s="35" t="s">
        <v>22</v>
      </c>
      <c r="R28" s="35" t="s">
        <v>22</v>
      </c>
      <c r="S28" s="5"/>
    </row>
    <row r="29" spans="1:19" ht="24" customHeight="1">
      <c r="A29" s="5"/>
      <c r="B29" s="92">
        <v>1</v>
      </c>
      <c r="C29" s="93" t="s">
        <v>21</v>
      </c>
      <c r="D29" s="93" t="s">
        <v>21</v>
      </c>
      <c r="E29" s="93" t="s">
        <v>21</v>
      </c>
      <c r="F29" s="93" t="s">
        <v>21</v>
      </c>
      <c r="G29" s="93" t="s">
        <v>21</v>
      </c>
      <c r="H29" s="93" t="s">
        <v>21</v>
      </c>
      <c r="I29" s="35" t="s">
        <v>22</v>
      </c>
      <c r="J29" s="35" t="s">
        <v>22</v>
      </c>
      <c r="K29" s="35" t="s">
        <v>22</v>
      </c>
      <c r="L29" s="35" t="s">
        <v>22</v>
      </c>
      <c r="M29" s="35" t="s">
        <v>22</v>
      </c>
      <c r="N29" s="35" t="s">
        <v>22</v>
      </c>
      <c r="O29" s="35" t="s">
        <v>22</v>
      </c>
      <c r="P29" s="35" t="s">
        <v>22</v>
      </c>
      <c r="Q29" s="35" t="s">
        <v>22</v>
      </c>
      <c r="R29" s="35" t="s">
        <v>22</v>
      </c>
      <c r="S29" s="5"/>
    </row>
    <row r="30" spans="1:19" ht="24" customHeight="1">
      <c r="A30" s="5"/>
      <c r="B30" s="92">
        <v>2</v>
      </c>
      <c r="C30" s="93" t="s">
        <v>23</v>
      </c>
      <c r="D30" s="93" t="s">
        <v>23</v>
      </c>
      <c r="E30" s="93" t="s">
        <v>23</v>
      </c>
      <c r="F30" s="93" t="s">
        <v>23</v>
      </c>
      <c r="G30" s="93" t="s">
        <v>23</v>
      </c>
      <c r="H30" s="93" t="s">
        <v>23</v>
      </c>
      <c r="I30" s="35" t="s">
        <v>24</v>
      </c>
      <c r="J30" s="35" t="s">
        <v>24</v>
      </c>
      <c r="K30" s="35" t="s">
        <v>24</v>
      </c>
      <c r="L30" s="35" t="s">
        <v>24</v>
      </c>
      <c r="M30" s="35" t="s">
        <v>24</v>
      </c>
      <c r="N30" s="35" t="s">
        <v>24</v>
      </c>
      <c r="O30" s="35" t="s">
        <v>24</v>
      </c>
      <c r="P30" s="35" t="s">
        <v>24</v>
      </c>
      <c r="Q30" s="35" t="s">
        <v>24</v>
      </c>
      <c r="R30" s="35" t="s">
        <v>24</v>
      </c>
      <c r="S30" s="5"/>
    </row>
    <row r="31" spans="1:19" ht="24" customHeight="1">
      <c r="A31" s="5"/>
      <c r="B31" s="92">
        <v>2</v>
      </c>
      <c r="C31" s="93" t="s">
        <v>23</v>
      </c>
      <c r="D31" s="93" t="s">
        <v>23</v>
      </c>
      <c r="E31" s="93" t="s">
        <v>23</v>
      </c>
      <c r="F31" s="93" t="s">
        <v>23</v>
      </c>
      <c r="G31" s="93" t="s">
        <v>23</v>
      </c>
      <c r="H31" s="93" t="s">
        <v>23</v>
      </c>
      <c r="I31" s="35" t="s">
        <v>24</v>
      </c>
      <c r="J31" s="35" t="s">
        <v>24</v>
      </c>
      <c r="K31" s="35" t="s">
        <v>24</v>
      </c>
      <c r="L31" s="35" t="s">
        <v>24</v>
      </c>
      <c r="M31" s="35" t="s">
        <v>24</v>
      </c>
      <c r="N31" s="35" t="s">
        <v>24</v>
      </c>
      <c r="O31" s="35" t="s">
        <v>24</v>
      </c>
      <c r="P31" s="35" t="s">
        <v>24</v>
      </c>
      <c r="Q31" s="35" t="s">
        <v>24</v>
      </c>
      <c r="R31" s="35" t="s">
        <v>24</v>
      </c>
      <c r="S31" s="5"/>
    </row>
    <row r="32" spans="1:19" ht="24" customHeight="1">
      <c r="A32" s="5"/>
      <c r="B32" s="92">
        <v>3</v>
      </c>
      <c r="C32" s="93" t="s">
        <v>25</v>
      </c>
      <c r="D32" s="93" t="s">
        <v>25</v>
      </c>
      <c r="E32" s="93" t="s">
        <v>25</v>
      </c>
      <c r="F32" s="93" t="s">
        <v>25</v>
      </c>
      <c r="G32" s="93" t="s">
        <v>25</v>
      </c>
      <c r="H32" s="93" t="s">
        <v>25</v>
      </c>
      <c r="I32" s="35" t="s">
        <v>26</v>
      </c>
      <c r="J32" s="35" t="s">
        <v>26</v>
      </c>
      <c r="K32" s="35" t="s">
        <v>26</v>
      </c>
      <c r="L32" s="35" t="s">
        <v>26</v>
      </c>
      <c r="M32" s="35" t="s">
        <v>26</v>
      </c>
      <c r="N32" s="35" t="s">
        <v>26</v>
      </c>
      <c r="O32" s="35" t="s">
        <v>26</v>
      </c>
      <c r="P32" s="35" t="s">
        <v>26</v>
      </c>
      <c r="Q32" s="35" t="s">
        <v>26</v>
      </c>
      <c r="R32" s="35" t="s">
        <v>26</v>
      </c>
      <c r="S32" s="5"/>
    </row>
    <row r="33" spans="1:19" ht="24" customHeight="1">
      <c r="A33" s="5"/>
      <c r="B33" s="92">
        <v>3</v>
      </c>
      <c r="C33" s="93" t="s">
        <v>25</v>
      </c>
      <c r="D33" s="93" t="s">
        <v>25</v>
      </c>
      <c r="E33" s="93" t="s">
        <v>25</v>
      </c>
      <c r="F33" s="93" t="s">
        <v>25</v>
      </c>
      <c r="G33" s="93" t="s">
        <v>25</v>
      </c>
      <c r="H33" s="93" t="s">
        <v>25</v>
      </c>
      <c r="I33" s="35" t="s">
        <v>26</v>
      </c>
      <c r="J33" s="35" t="s">
        <v>26</v>
      </c>
      <c r="K33" s="35" t="s">
        <v>26</v>
      </c>
      <c r="L33" s="35" t="s">
        <v>26</v>
      </c>
      <c r="M33" s="35" t="s">
        <v>26</v>
      </c>
      <c r="N33" s="35" t="s">
        <v>26</v>
      </c>
      <c r="O33" s="35" t="s">
        <v>26</v>
      </c>
      <c r="P33" s="35" t="s">
        <v>26</v>
      </c>
      <c r="Q33" s="35" t="s">
        <v>26</v>
      </c>
      <c r="R33" s="35" t="s">
        <v>26</v>
      </c>
      <c r="S33" s="5"/>
    </row>
    <row r="34" spans="1:19" ht="24" customHeight="1">
      <c r="A34" s="5"/>
      <c r="B34" s="92">
        <v>4</v>
      </c>
      <c r="C34" s="93" t="s">
        <v>27</v>
      </c>
      <c r="D34" s="93" t="s">
        <v>27</v>
      </c>
      <c r="E34" s="93" t="s">
        <v>27</v>
      </c>
      <c r="F34" s="93" t="s">
        <v>27</v>
      </c>
      <c r="G34" s="93" t="s">
        <v>27</v>
      </c>
      <c r="H34" s="93" t="s">
        <v>27</v>
      </c>
      <c r="I34" s="35" t="s">
        <v>28</v>
      </c>
      <c r="J34" s="35" t="s">
        <v>28</v>
      </c>
      <c r="K34" s="35" t="s">
        <v>28</v>
      </c>
      <c r="L34" s="35" t="s">
        <v>28</v>
      </c>
      <c r="M34" s="35" t="s">
        <v>28</v>
      </c>
      <c r="N34" s="35" t="s">
        <v>28</v>
      </c>
      <c r="O34" s="35" t="s">
        <v>28</v>
      </c>
      <c r="P34" s="35" t="s">
        <v>28</v>
      </c>
      <c r="Q34" s="35" t="s">
        <v>28</v>
      </c>
      <c r="R34" s="35" t="s">
        <v>28</v>
      </c>
      <c r="S34" s="5"/>
    </row>
    <row r="35" spans="1:19" ht="24" customHeight="1">
      <c r="A35" s="5"/>
      <c r="B35" s="92">
        <v>4</v>
      </c>
      <c r="C35" s="93" t="s">
        <v>27</v>
      </c>
      <c r="D35" s="93" t="s">
        <v>27</v>
      </c>
      <c r="E35" s="93" t="s">
        <v>27</v>
      </c>
      <c r="F35" s="93" t="s">
        <v>27</v>
      </c>
      <c r="G35" s="93" t="s">
        <v>27</v>
      </c>
      <c r="H35" s="93" t="s">
        <v>27</v>
      </c>
      <c r="I35" s="35" t="s">
        <v>28</v>
      </c>
      <c r="J35" s="35" t="s">
        <v>28</v>
      </c>
      <c r="K35" s="35" t="s">
        <v>28</v>
      </c>
      <c r="L35" s="35" t="s">
        <v>28</v>
      </c>
      <c r="M35" s="35" t="s">
        <v>28</v>
      </c>
      <c r="N35" s="35" t="s">
        <v>28</v>
      </c>
      <c r="O35" s="35" t="s">
        <v>28</v>
      </c>
      <c r="P35" s="35" t="s">
        <v>28</v>
      </c>
      <c r="Q35" s="35" t="s">
        <v>28</v>
      </c>
      <c r="R35" s="35" t="s">
        <v>28</v>
      </c>
      <c r="S35" s="5"/>
    </row>
    <row r="36" spans="1:19" ht="24" customHeight="1">
      <c r="A36" s="5"/>
      <c r="B36" s="92">
        <v>5</v>
      </c>
      <c r="C36" s="93" t="s">
        <v>29</v>
      </c>
      <c r="D36" s="93" t="s">
        <v>29</v>
      </c>
      <c r="E36" s="93" t="s">
        <v>29</v>
      </c>
      <c r="F36" s="93" t="s">
        <v>29</v>
      </c>
      <c r="G36" s="93" t="s">
        <v>29</v>
      </c>
      <c r="H36" s="93" t="s">
        <v>29</v>
      </c>
      <c r="I36" s="35" t="s">
        <v>30</v>
      </c>
      <c r="J36" s="35" t="s">
        <v>30</v>
      </c>
      <c r="K36" s="35" t="s">
        <v>30</v>
      </c>
      <c r="L36" s="35" t="s">
        <v>30</v>
      </c>
      <c r="M36" s="35" t="s">
        <v>30</v>
      </c>
      <c r="N36" s="35" t="s">
        <v>30</v>
      </c>
      <c r="O36" s="35" t="s">
        <v>30</v>
      </c>
      <c r="P36" s="35" t="s">
        <v>30</v>
      </c>
      <c r="Q36" s="35" t="s">
        <v>30</v>
      </c>
      <c r="R36" s="35" t="s">
        <v>30</v>
      </c>
      <c r="S36" s="5"/>
    </row>
    <row r="37" spans="1:19" ht="24" customHeight="1">
      <c r="A37" s="5"/>
      <c r="B37" s="92">
        <v>5</v>
      </c>
      <c r="C37" s="93" t="s">
        <v>29</v>
      </c>
      <c r="D37" s="93" t="s">
        <v>29</v>
      </c>
      <c r="E37" s="93" t="s">
        <v>29</v>
      </c>
      <c r="F37" s="93" t="s">
        <v>29</v>
      </c>
      <c r="G37" s="93" t="s">
        <v>29</v>
      </c>
      <c r="H37" s="93" t="s">
        <v>29</v>
      </c>
      <c r="I37" s="35" t="s">
        <v>30</v>
      </c>
      <c r="J37" s="35" t="s">
        <v>30</v>
      </c>
      <c r="K37" s="35" t="s">
        <v>30</v>
      </c>
      <c r="L37" s="35" t="s">
        <v>30</v>
      </c>
      <c r="M37" s="35" t="s">
        <v>30</v>
      </c>
      <c r="N37" s="35" t="s">
        <v>30</v>
      </c>
      <c r="O37" s="35" t="s">
        <v>30</v>
      </c>
      <c r="P37" s="35" t="s">
        <v>30</v>
      </c>
      <c r="Q37" s="35" t="s">
        <v>30</v>
      </c>
      <c r="R37" s="35" t="s">
        <v>30</v>
      </c>
      <c r="S37" s="5"/>
    </row>
    <row r="38" spans="1:19" ht="24" customHeight="1">
      <c r="A38" s="5"/>
      <c r="B38" s="5"/>
      <c r="C38" s="5"/>
      <c r="D38" s="5"/>
      <c r="E38" s="5"/>
      <c r="F38" s="5"/>
      <c r="G38" s="5"/>
      <c r="H38" s="5"/>
      <c r="I38" s="5"/>
      <c r="J38" s="5"/>
      <c r="K38" s="5"/>
      <c r="L38" s="5"/>
      <c r="M38" s="5"/>
      <c r="N38" s="5"/>
      <c r="O38" s="5"/>
      <c r="P38" s="5"/>
      <c r="Q38" s="5"/>
      <c r="R38" s="5"/>
      <c r="S38" s="5"/>
    </row>
    <row r="39" spans="1:19" ht="24" customHeight="1">
      <c r="A39" s="5"/>
      <c r="B39" s="5"/>
      <c r="C39" s="5"/>
      <c r="D39" s="5"/>
      <c r="E39" s="5"/>
      <c r="F39" s="5"/>
      <c r="G39" s="5"/>
      <c r="H39" s="5"/>
      <c r="I39" s="5"/>
      <c r="J39" s="5"/>
      <c r="K39" s="5"/>
      <c r="L39" s="5"/>
      <c r="M39" s="5"/>
      <c r="N39" s="5"/>
      <c r="O39" s="5"/>
      <c r="P39" s="5"/>
      <c r="Q39" s="5"/>
      <c r="R39" s="5"/>
      <c r="S39" s="5"/>
    </row>
    <row r="40" spans="1:19" ht="24" customHeight="1">
      <c r="A40" s="5"/>
      <c r="B40" s="91" t="s">
        <v>31</v>
      </c>
      <c r="C40" s="91" t="s">
        <v>31</v>
      </c>
      <c r="D40" s="91" t="s">
        <v>31</v>
      </c>
      <c r="E40" s="91" t="s">
        <v>31</v>
      </c>
      <c r="F40" s="91" t="s">
        <v>31</v>
      </c>
      <c r="G40" s="91" t="s">
        <v>31</v>
      </c>
      <c r="H40" s="91" t="s">
        <v>31</v>
      </c>
      <c r="I40" s="91" t="s">
        <v>31</v>
      </c>
      <c r="J40" s="91" t="s">
        <v>31</v>
      </c>
      <c r="K40" s="91" t="s">
        <v>31</v>
      </c>
      <c r="L40" s="91" t="s">
        <v>31</v>
      </c>
      <c r="M40" s="91" t="s">
        <v>31</v>
      </c>
      <c r="N40" s="91" t="s">
        <v>31</v>
      </c>
      <c r="O40" s="91" t="s">
        <v>31</v>
      </c>
      <c r="P40" s="91" t="s">
        <v>31</v>
      </c>
      <c r="Q40" s="91" t="s">
        <v>31</v>
      </c>
      <c r="R40" s="91" t="s">
        <v>31</v>
      </c>
      <c r="S40" s="5"/>
    </row>
    <row r="41" spans="1:19" ht="24" customHeight="1">
      <c r="A41" s="5"/>
      <c r="B41" s="91" t="s">
        <v>31</v>
      </c>
      <c r="C41" s="91" t="s">
        <v>31</v>
      </c>
      <c r="D41" s="91" t="s">
        <v>31</v>
      </c>
      <c r="E41" s="91" t="s">
        <v>31</v>
      </c>
      <c r="F41" s="91" t="s">
        <v>31</v>
      </c>
      <c r="G41" s="91" t="s">
        <v>31</v>
      </c>
      <c r="H41" s="91" t="s">
        <v>31</v>
      </c>
      <c r="I41" s="91" t="s">
        <v>31</v>
      </c>
      <c r="J41" s="91" t="s">
        <v>31</v>
      </c>
      <c r="K41" s="91" t="s">
        <v>31</v>
      </c>
      <c r="L41" s="91" t="s">
        <v>31</v>
      </c>
      <c r="M41" s="91" t="s">
        <v>31</v>
      </c>
      <c r="N41" s="91" t="s">
        <v>31</v>
      </c>
      <c r="O41" s="91" t="s">
        <v>31</v>
      </c>
      <c r="P41" s="91" t="s">
        <v>31</v>
      </c>
      <c r="Q41" s="91" t="s">
        <v>31</v>
      </c>
      <c r="R41" s="91" t="s">
        <v>31</v>
      </c>
      <c r="S41" s="5"/>
    </row>
    <row r="42" spans="1:19" ht="24" customHeight="1">
      <c r="A42" s="5"/>
      <c r="B42" s="5"/>
      <c r="C42" s="5"/>
      <c r="D42" s="5"/>
      <c r="E42" s="5"/>
      <c r="F42" s="5"/>
      <c r="G42" s="5"/>
      <c r="H42" s="5"/>
      <c r="I42" s="5"/>
      <c r="J42" s="5"/>
      <c r="K42" s="5"/>
      <c r="L42" s="5"/>
      <c r="M42" s="5"/>
      <c r="N42" s="5"/>
      <c r="O42" s="5"/>
      <c r="P42" s="5"/>
      <c r="Q42" s="5"/>
      <c r="R42" s="5"/>
      <c r="S42" s="5"/>
    </row>
    <row r="43" spans="1:19" ht="24" customHeight="1">
      <c r="A43" s="5"/>
      <c r="B43" s="93" t="s">
        <v>32</v>
      </c>
      <c r="C43" s="93" t="s">
        <v>32</v>
      </c>
      <c r="D43" s="93" t="s">
        <v>32</v>
      </c>
      <c r="E43" s="93" t="s">
        <v>32</v>
      </c>
      <c r="F43" s="93" t="s">
        <v>32</v>
      </c>
      <c r="G43" s="93" t="s">
        <v>32</v>
      </c>
      <c r="H43" s="94" t="str">
        <f>HYPERLINK("#'01_TONG_QUAN'!A1","01_TONG_QUAN")</f>
        <v>01_TONG_QUAN</v>
      </c>
      <c r="I43" s="94"/>
      <c r="J43" s="94"/>
      <c r="K43" s="94"/>
      <c r="L43" s="94"/>
      <c r="M43" s="38" t="s">
        <v>6</v>
      </c>
      <c r="N43" s="38" t="s">
        <v>6</v>
      </c>
      <c r="O43" s="38" t="s">
        <v>6</v>
      </c>
      <c r="P43" s="38" t="s">
        <v>6</v>
      </c>
      <c r="Q43" s="38" t="s">
        <v>6</v>
      </c>
      <c r="R43" s="38" t="s">
        <v>6</v>
      </c>
      <c r="S43" s="5"/>
    </row>
    <row r="44" spans="1:19" ht="24" customHeight="1">
      <c r="A44" s="5"/>
      <c r="B44" s="93" t="s">
        <v>32</v>
      </c>
      <c r="C44" s="93" t="s">
        <v>32</v>
      </c>
      <c r="D44" s="93" t="s">
        <v>32</v>
      </c>
      <c r="E44" s="93" t="s">
        <v>32</v>
      </c>
      <c r="F44" s="93" t="s">
        <v>32</v>
      </c>
      <c r="G44" s="93" t="s">
        <v>32</v>
      </c>
      <c r="H44" s="94"/>
      <c r="I44" s="94"/>
      <c r="J44" s="94"/>
      <c r="K44" s="94"/>
      <c r="L44" s="94"/>
      <c r="M44" s="38" t="s">
        <v>6</v>
      </c>
      <c r="N44" s="38" t="s">
        <v>6</v>
      </c>
      <c r="O44" s="38" t="s">
        <v>6</v>
      </c>
      <c r="P44" s="38" t="s">
        <v>6</v>
      </c>
      <c r="Q44" s="38" t="s">
        <v>6</v>
      </c>
      <c r="R44" s="38" t="s">
        <v>6</v>
      </c>
      <c r="S44" s="5"/>
    </row>
    <row r="45" spans="1:19" ht="24" customHeight="1">
      <c r="A45" s="5"/>
      <c r="B45" s="93" t="s">
        <v>32</v>
      </c>
      <c r="C45" s="93" t="s">
        <v>32</v>
      </c>
      <c r="D45" s="93" t="s">
        <v>32</v>
      </c>
      <c r="E45" s="93" t="s">
        <v>32</v>
      </c>
      <c r="F45" s="93" t="s">
        <v>32</v>
      </c>
      <c r="G45" s="93" t="s">
        <v>32</v>
      </c>
      <c r="H45" s="94"/>
      <c r="I45" s="94"/>
      <c r="J45" s="94"/>
      <c r="K45" s="94"/>
      <c r="L45" s="94"/>
      <c r="M45" s="38" t="s">
        <v>6</v>
      </c>
      <c r="N45" s="38" t="s">
        <v>6</v>
      </c>
      <c r="O45" s="38" t="s">
        <v>6</v>
      </c>
      <c r="P45" s="38" t="s">
        <v>6</v>
      </c>
      <c r="Q45" s="38" t="s">
        <v>6</v>
      </c>
      <c r="R45" s="38" t="s">
        <v>6</v>
      </c>
      <c r="S45" s="5"/>
    </row>
    <row r="46" spans="1:19" ht="24" customHeight="1">
      <c r="A46" s="5"/>
      <c r="B46" s="93" t="s">
        <v>33</v>
      </c>
      <c r="C46" s="93" t="s">
        <v>33</v>
      </c>
      <c r="D46" s="93" t="s">
        <v>33</v>
      </c>
      <c r="E46" s="93" t="s">
        <v>33</v>
      </c>
      <c r="F46" s="93" t="s">
        <v>33</v>
      </c>
      <c r="G46" s="93" t="s">
        <v>33</v>
      </c>
      <c r="H46" s="94" t="str">
        <f>HYPERLINK("#'02_SAN_PHAM'!A1","02_SAN_PHAM")</f>
        <v>02_SAN_PHAM</v>
      </c>
      <c r="I46" s="94"/>
      <c r="J46" s="94"/>
      <c r="K46" s="94"/>
      <c r="L46" s="94"/>
      <c r="M46" s="38" t="s">
        <v>7</v>
      </c>
      <c r="N46" s="38" t="s">
        <v>7</v>
      </c>
      <c r="O46" s="38" t="s">
        <v>7</v>
      </c>
      <c r="P46" s="38" t="s">
        <v>7</v>
      </c>
      <c r="Q46" s="38" t="s">
        <v>7</v>
      </c>
      <c r="R46" s="38" t="s">
        <v>7</v>
      </c>
      <c r="S46" s="5"/>
    </row>
    <row r="47" spans="1:19" ht="24" customHeight="1">
      <c r="A47" s="5"/>
      <c r="B47" s="93" t="s">
        <v>33</v>
      </c>
      <c r="C47" s="93" t="s">
        <v>33</v>
      </c>
      <c r="D47" s="93" t="s">
        <v>33</v>
      </c>
      <c r="E47" s="93" t="s">
        <v>33</v>
      </c>
      <c r="F47" s="93" t="s">
        <v>33</v>
      </c>
      <c r="G47" s="93" t="s">
        <v>33</v>
      </c>
      <c r="H47" s="94"/>
      <c r="I47" s="94"/>
      <c r="J47" s="94"/>
      <c r="K47" s="94"/>
      <c r="L47" s="94"/>
      <c r="M47" s="38" t="s">
        <v>7</v>
      </c>
      <c r="N47" s="38" t="s">
        <v>7</v>
      </c>
      <c r="O47" s="38" t="s">
        <v>7</v>
      </c>
      <c r="P47" s="38" t="s">
        <v>7</v>
      </c>
      <c r="Q47" s="38" t="s">
        <v>7</v>
      </c>
      <c r="R47" s="38" t="s">
        <v>7</v>
      </c>
      <c r="S47" s="5"/>
    </row>
    <row r="48" spans="1:19" ht="24" customHeight="1">
      <c r="A48" s="5"/>
      <c r="B48" s="93" t="s">
        <v>33</v>
      </c>
      <c r="C48" s="93" t="s">
        <v>33</v>
      </c>
      <c r="D48" s="93" t="s">
        <v>33</v>
      </c>
      <c r="E48" s="93" t="s">
        <v>33</v>
      </c>
      <c r="F48" s="93" t="s">
        <v>33</v>
      </c>
      <c r="G48" s="93" t="s">
        <v>33</v>
      </c>
      <c r="H48" s="94"/>
      <c r="I48" s="94"/>
      <c r="J48" s="94"/>
      <c r="K48" s="94"/>
      <c r="L48" s="94"/>
      <c r="M48" s="38" t="s">
        <v>7</v>
      </c>
      <c r="N48" s="38" t="s">
        <v>7</v>
      </c>
      <c r="O48" s="38" t="s">
        <v>7</v>
      </c>
      <c r="P48" s="38" t="s">
        <v>7</v>
      </c>
      <c r="Q48" s="38" t="s">
        <v>7</v>
      </c>
      <c r="R48" s="38" t="s">
        <v>7</v>
      </c>
      <c r="S48" s="5"/>
    </row>
    <row r="49" spans="1:19" ht="24" customHeight="1">
      <c r="A49" s="5"/>
      <c r="B49" s="93" t="s">
        <v>34</v>
      </c>
      <c r="C49" s="93" t="s">
        <v>34</v>
      </c>
      <c r="D49" s="93" t="s">
        <v>34</v>
      </c>
      <c r="E49" s="93" t="s">
        <v>34</v>
      </c>
      <c r="F49" s="93" t="s">
        <v>34</v>
      </c>
      <c r="G49" s="93" t="s">
        <v>34</v>
      </c>
      <c r="H49" s="94" t="str">
        <f>HYPERLINK("#'03_ROADMAP'!A1","03_ROADMAP")</f>
        <v>03_ROADMAP</v>
      </c>
      <c r="I49" s="94"/>
      <c r="J49" s="94"/>
      <c r="K49" s="94"/>
      <c r="L49" s="94"/>
      <c r="M49" s="38" t="s">
        <v>8</v>
      </c>
      <c r="N49" s="38" t="s">
        <v>8</v>
      </c>
      <c r="O49" s="38" t="s">
        <v>8</v>
      </c>
      <c r="P49" s="38" t="s">
        <v>8</v>
      </c>
      <c r="Q49" s="38" t="s">
        <v>8</v>
      </c>
      <c r="R49" s="38" t="s">
        <v>8</v>
      </c>
      <c r="S49" s="5"/>
    </row>
    <row r="50" spans="1:19" ht="24" customHeight="1">
      <c r="A50" s="5"/>
      <c r="B50" s="93" t="s">
        <v>34</v>
      </c>
      <c r="C50" s="93" t="s">
        <v>34</v>
      </c>
      <c r="D50" s="93" t="s">
        <v>34</v>
      </c>
      <c r="E50" s="93" t="s">
        <v>34</v>
      </c>
      <c r="F50" s="93" t="s">
        <v>34</v>
      </c>
      <c r="G50" s="93" t="s">
        <v>34</v>
      </c>
      <c r="H50" s="94"/>
      <c r="I50" s="94"/>
      <c r="J50" s="94"/>
      <c r="K50" s="94"/>
      <c r="L50" s="94"/>
      <c r="M50" s="38" t="s">
        <v>8</v>
      </c>
      <c r="N50" s="38" t="s">
        <v>8</v>
      </c>
      <c r="O50" s="38" t="s">
        <v>8</v>
      </c>
      <c r="P50" s="38" t="s">
        <v>8</v>
      </c>
      <c r="Q50" s="38" t="s">
        <v>8</v>
      </c>
      <c r="R50" s="38" t="s">
        <v>8</v>
      </c>
      <c r="S50" s="5"/>
    </row>
    <row r="51" spans="1:19" ht="24" customHeight="1">
      <c r="A51" s="5"/>
      <c r="B51" s="93" t="s">
        <v>34</v>
      </c>
      <c r="C51" s="93" t="s">
        <v>34</v>
      </c>
      <c r="D51" s="93" t="s">
        <v>34</v>
      </c>
      <c r="E51" s="93" t="s">
        <v>34</v>
      </c>
      <c r="F51" s="93" t="s">
        <v>34</v>
      </c>
      <c r="G51" s="93" t="s">
        <v>34</v>
      </c>
      <c r="H51" s="94"/>
      <c r="I51" s="94"/>
      <c r="J51" s="94"/>
      <c r="K51" s="94"/>
      <c r="L51" s="94"/>
      <c r="M51" s="38" t="s">
        <v>8</v>
      </c>
      <c r="N51" s="38" t="s">
        <v>8</v>
      </c>
      <c r="O51" s="38" t="s">
        <v>8</v>
      </c>
      <c r="P51" s="38" t="s">
        <v>8</v>
      </c>
      <c r="Q51" s="38" t="s">
        <v>8</v>
      </c>
      <c r="R51" s="38" t="s">
        <v>8</v>
      </c>
      <c r="S51" s="5"/>
    </row>
    <row r="52" spans="1:19" ht="24" customHeight="1">
      <c r="A52" s="5"/>
      <c r="B52" s="93" t="s">
        <v>35</v>
      </c>
      <c r="C52" s="93" t="s">
        <v>35</v>
      </c>
      <c r="D52" s="93" t="s">
        <v>35</v>
      </c>
      <c r="E52" s="93" t="s">
        <v>35</v>
      </c>
      <c r="F52" s="93" t="s">
        <v>35</v>
      </c>
      <c r="G52" s="93" t="s">
        <v>35</v>
      </c>
      <c r="H52" s="94" t="str">
        <f>HYPERLINK("#'04_CONG_VIEC'!A1","04_CONG_VIEC")</f>
        <v>04_CONG_VIEC</v>
      </c>
      <c r="I52" s="94"/>
      <c r="J52" s="94"/>
      <c r="K52" s="94"/>
      <c r="L52" s="94"/>
      <c r="M52" s="38" t="s">
        <v>15</v>
      </c>
      <c r="N52" s="38" t="s">
        <v>15</v>
      </c>
      <c r="O52" s="38" t="s">
        <v>15</v>
      </c>
      <c r="P52" s="38" t="s">
        <v>15</v>
      </c>
      <c r="Q52" s="38" t="s">
        <v>15</v>
      </c>
      <c r="R52" s="38" t="s">
        <v>15</v>
      </c>
      <c r="S52" s="5"/>
    </row>
    <row r="53" spans="1:19" ht="24" customHeight="1">
      <c r="A53" s="5"/>
      <c r="B53" s="93" t="s">
        <v>35</v>
      </c>
      <c r="C53" s="93" t="s">
        <v>35</v>
      </c>
      <c r="D53" s="93" t="s">
        <v>35</v>
      </c>
      <c r="E53" s="93" t="s">
        <v>35</v>
      </c>
      <c r="F53" s="93" t="s">
        <v>35</v>
      </c>
      <c r="G53" s="93" t="s">
        <v>35</v>
      </c>
      <c r="H53" s="94"/>
      <c r="I53" s="94"/>
      <c r="J53" s="94"/>
      <c r="K53" s="94"/>
      <c r="L53" s="94"/>
      <c r="M53" s="38" t="s">
        <v>15</v>
      </c>
      <c r="N53" s="38" t="s">
        <v>15</v>
      </c>
      <c r="O53" s="38" t="s">
        <v>15</v>
      </c>
      <c r="P53" s="38" t="s">
        <v>15</v>
      </c>
      <c r="Q53" s="38" t="s">
        <v>15</v>
      </c>
      <c r="R53" s="38" t="s">
        <v>15</v>
      </c>
      <c r="S53" s="5"/>
    </row>
    <row r="54" spans="1:19" ht="24" customHeight="1">
      <c r="A54" s="5"/>
      <c r="B54" s="93" t="s">
        <v>35</v>
      </c>
      <c r="C54" s="93" t="s">
        <v>35</v>
      </c>
      <c r="D54" s="93" t="s">
        <v>35</v>
      </c>
      <c r="E54" s="93" t="s">
        <v>35</v>
      </c>
      <c r="F54" s="93" t="s">
        <v>35</v>
      </c>
      <c r="G54" s="93" t="s">
        <v>35</v>
      </c>
      <c r="H54" s="94"/>
      <c r="I54" s="94"/>
      <c r="J54" s="94"/>
      <c r="K54" s="94"/>
      <c r="L54" s="94"/>
      <c r="M54" s="38" t="s">
        <v>15</v>
      </c>
      <c r="N54" s="38" t="s">
        <v>15</v>
      </c>
      <c r="O54" s="38" t="s">
        <v>15</v>
      </c>
      <c r="P54" s="38" t="s">
        <v>15</v>
      </c>
      <c r="Q54" s="38" t="s">
        <v>15</v>
      </c>
      <c r="R54" s="38" t="s">
        <v>15</v>
      </c>
      <c r="S54" s="5"/>
    </row>
    <row r="55" spans="1:19" ht="24" customHeight="1">
      <c r="A55" s="5"/>
      <c r="B55" s="93" t="s">
        <v>36</v>
      </c>
      <c r="C55" s="93" t="s">
        <v>36</v>
      </c>
      <c r="D55" s="93" t="s">
        <v>36</v>
      </c>
      <c r="E55" s="93" t="s">
        <v>36</v>
      </c>
      <c r="F55" s="93" t="s">
        <v>36</v>
      </c>
      <c r="G55" s="93" t="s">
        <v>36</v>
      </c>
      <c r="H55" s="94" t="str">
        <f>HYPERLINK("#'05_VAN_DE_THAY_DOI'!A1","05_VAN_DE_THAY_DOI")</f>
        <v>05_VAN_DE_THAY_DOI</v>
      </c>
      <c r="I55" s="94"/>
      <c r="J55" s="94"/>
      <c r="K55" s="94"/>
      <c r="L55" s="94"/>
      <c r="M55" s="38" t="s">
        <v>16</v>
      </c>
      <c r="N55" s="38" t="s">
        <v>16</v>
      </c>
      <c r="O55" s="38" t="s">
        <v>16</v>
      </c>
      <c r="P55" s="38" t="s">
        <v>16</v>
      </c>
      <c r="Q55" s="38" t="s">
        <v>16</v>
      </c>
      <c r="R55" s="38" t="s">
        <v>16</v>
      </c>
      <c r="S55" s="5"/>
    </row>
    <row r="56" spans="1:19" ht="24" customHeight="1">
      <c r="A56" s="5"/>
      <c r="B56" s="93" t="s">
        <v>36</v>
      </c>
      <c r="C56" s="93" t="s">
        <v>36</v>
      </c>
      <c r="D56" s="93" t="s">
        <v>36</v>
      </c>
      <c r="E56" s="93" t="s">
        <v>36</v>
      </c>
      <c r="F56" s="93" t="s">
        <v>36</v>
      </c>
      <c r="G56" s="93" t="s">
        <v>36</v>
      </c>
      <c r="H56" s="94"/>
      <c r="I56" s="94"/>
      <c r="J56" s="94"/>
      <c r="K56" s="94"/>
      <c r="L56" s="94"/>
      <c r="M56" s="38" t="s">
        <v>16</v>
      </c>
      <c r="N56" s="38" t="s">
        <v>16</v>
      </c>
      <c r="O56" s="38" t="s">
        <v>16</v>
      </c>
      <c r="P56" s="38" t="s">
        <v>16</v>
      </c>
      <c r="Q56" s="38" t="s">
        <v>16</v>
      </c>
      <c r="R56" s="38" t="s">
        <v>16</v>
      </c>
      <c r="S56" s="5"/>
    </row>
    <row r="57" spans="1:19" ht="24" customHeight="1">
      <c r="A57" s="5"/>
      <c r="B57" s="93" t="s">
        <v>36</v>
      </c>
      <c r="C57" s="93" t="s">
        <v>36</v>
      </c>
      <c r="D57" s="93" t="s">
        <v>36</v>
      </c>
      <c r="E57" s="93" t="s">
        <v>36</v>
      </c>
      <c r="F57" s="93" t="s">
        <v>36</v>
      </c>
      <c r="G57" s="93" t="s">
        <v>36</v>
      </c>
      <c r="H57" s="94"/>
      <c r="I57" s="94"/>
      <c r="J57" s="94"/>
      <c r="K57" s="94"/>
      <c r="L57" s="94"/>
      <c r="M57" s="38" t="s">
        <v>16</v>
      </c>
      <c r="N57" s="38" t="s">
        <v>16</v>
      </c>
      <c r="O57" s="38" t="s">
        <v>16</v>
      </c>
      <c r="P57" s="38" t="s">
        <v>16</v>
      </c>
      <c r="Q57" s="38" t="s">
        <v>16</v>
      </c>
      <c r="R57" s="38" t="s">
        <v>16</v>
      </c>
      <c r="S57" s="5"/>
    </row>
    <row r="58" spans="1:19" ht="24" customHeight="1">
      <c r="A58" s="5"/>
      <c r="B58" s="93" t="s">
        <v>37</v>
      </c>
      <c r="C58" s="93" t="s">
        <v>37</v>
      </c>
      <c r="D58" s="93" t="s">
        <v>37</v>
      </c>
      <c r="E58" s="93" t="s">
        <v>37</v>
      </c>
      <c r="F58" s="93" t="s">
        <v>37</v>
      </c>
      <c r="G58" s="93" t="s">
        <v>37</v>
      </c>
      <c r="H58" s="94" t="str">
        <f>HYPERLINK("#'06_BANG_CHUNG'!A1","06_BANG_CHUNG")</f>
        <v>06_BANG_CHUNG</v>
      </c>
      <c r="I58" s="94"/>
      <c r="J58" s="94"/>
      <c r="K58" s="94"/>
      <c r="L58" s="94"/>
      <c r="M58" s="38" t="s">
        <v>17</v>
      </c>
      <c r="N58" s="38" t="s">
        <v>17</v>
      </c>
      <c r="O58" s="38" t="s">
        <v>17</v>
      </c>
      <c r="P58" s="38" t="s">
        <v>17</v>
      </c>
      <c r="Q58" s="38" t="s">
        <v>17</v>
      </c>
      <c r="R58" s="38" t="s">
        <v>17</v>
      </c>
      <c r="S58" s="5"/>
    </row>
    <row r="59" spans="1:19" ht="24" customHeight="1">
      <c r="A59" s="5"/>
      <c r="B59" s="93" t="s">
        <v>37</v>
      </c>
      <c r="C59" s="93" t="s">
        <v>37</v>
      </c>
      <c r="D59" s="93" t="s">
        <v>37</v>
      </c>
      <c r="E59" s="93" t="s">
        <v>37</v>
      </c>
      <c r="F59" s="93" t="s">
        <v>37</v>
      </c>
      <c r="G59" s="93" t="s">
        <v>37</v>
      </c>
      <c r="H59" s="94"/>
      <c r="I59" s="94"/>
      <c r="J59" s="94"/>
      <c r="K59" s="94"/>
      <c r="L59" s="94"/>
      <c r="M59" s="38" t="s">
        <v>17</v>
      </c>
      <c r="N59" s="38" t="s">
        <v>17</v>
      </c>
      <c r="O59" s="38" t="s">
        <v>17</v>
      </c>
      <c r="P59" s="38" t="s">
        <v>17</v>
      </c>
      <c r="Q59" s="38" t="s">
        <v>17</v>
      </c>
      <c r="R59" s="38" t="s">
        <v>17</v>
      </c>
      <c r="S59" s="5"/>
    </row>
    <row r="60" spans="1:19" ht="24" customHeight="1">
      <c r="A60" s="5"/>
      <c r="B60" s="93" t="s">
        <v>37</v>
      </c>
      <c r="C60" s="93" t="s">
        <v>37</v>
      </c>
      <c r="D60" s="93" t="s">
        <v>37</v>
      </c>
      <c r="E60" s="93" t="s">
        <v>37</v>
      </c>
      <c r="F60" s="93" t="s">
        <v>37</v>
      </c>
      <c r="G60" s="93" t="s">
        <v>37</v>
      </c>
      <c r="H60" s="94"/>
      <c r="I60" s="94"/>
      <c r="J60" s="94"/>
      <c r="K60" s="94"/>
      <c r="L60" s="94"/>
      <c r="M60" s="38" t="s">
        <v>17</v>
      </c>
      <c r="N60" s="38" t="s">
        <v>17</v>
      </c>
      <c r="O60" s="38" t="s">
        <v>17</v>
      </c>
      <c r="P60" s="38" t="s">
        <v>17</v>
      </c>
      <c r="Q60" s="38" t="s">
        <v>17</v>
      </c>
      <c r="R60" s="38" t="s">
        <v>17</v>
      </c>
      <c r="S60" s="5"/>
    </row>
    <row r="61" spans="1:19" ht="24" customHeight="1">
      <c r="A61" s="5"/>
      <c r="B61" s="5"/>
      <c r="C61" s="5"/>
      <c r="D61" s="5"/>
      <c r="E61" s="5"/>
      <c r="F61" s="5"/>
      <c r="G61" s="5"/>
      <c r="H61" s="5"/>
      <c r="I61" s="5"/>
      <c r="J61" s="5"/>
      <c r="K61" s="5"/>
      <c r="L61" s="5"/>
      <c r="M61" s="5"/>
      <c r="N61" s="5"/>
      <c r="O61" s="5"/>
      <c r="P61" s="5"/>
      <c r="Q61" s="5"/>
      <c r="R61" s="5"/>
      <c r="S61" s="5"/>
    </row>
    <row r="62" spans="1:19" ht="24" customHeight="1">
      <c r="A62" s="5"/>
      <c r="B62" s="5"/>
      <c r="C62" s="5"/>
      <c r="D62" s="5"/>
      <c r="E62" s="5"/>
      <c r="F62" s="5"/>
      <c r="G62" s="5"/>
      <c r="H62" s="5"/>
      <c r="I62" s="5"/>
      <c r="J62" s="5"/>
      <c r="K62" s="5"/>
      <c r="L62" s="5"/>
      <c r="M62" s="5"/>
      <c r="N62" s="5"/>
      <c r="O62" s="5"/>
      <c r="P62" s="5"/>
      <c r="Q62" s="5"/>
      <c r="R62" s="5"/>
      <c r="S62" s="5"/>
    </row>
    <row r="63" spans="1:19" ht="24" customHeight="1">
      <c r="A63" s="5"/>
      <c r="B63" s="91" t="s">
        <v>38</v>
      </c>
      <c r="C63" s="91" t="s">
        <v>38</v>
      </c>
      <c r="D63" s="91" t="s">
        <v>38</v>
      </c>
      <c r="E63" s="91" t="s">
        <v>38</v>
      </c>
      <c r="F63" s="91" t="s">
        <v>38</v>
      </c>
      <c r="G63" s="91" t="s">
        <v>38</v>
      </c>
      <c r="H63" s="91" t="s">
        <v>38</v>
      </c>
      <c r="I63" s="91" t="s">
        <v>38</v>
      </c>
      <c r="J63" s="91" t="s">
        <v>38</v>
      </c>
      <c r="K63" s="91" t="s">
        <v>38</v>
      </c>
      <c r="L63" s="91" t="s">
        <v>38</v>
      </c>
      <c r="M63" s="91" t="s">
        <v>38</v>
      </c>
      <c r="N63" s="91" t="s">
        <v>38</v>
      </c>
      <c r="O63" s="91" t="s">
        <v>38</v>
      </c>
      <c r="P63" s="91" t="s">
        <v>38</v>
      </c>
      <c r="Q63" s="91" t="s">
        <v>38</v>
      </c>
      <c r="R63" s="91" t="s">
        <v>38</v>
      </c>
      <c r="S63" s="5"/>
    </row>
    <row r="64" spans="1:19" ht="24" customHeight="1">
      <c r="A64" s="5"/>
      <c r="B64" s="91" t="s">
        <v>38</v>
      </c>
      <c r="C64" s="91" t="s">
        <v>38</v>
      </c>
      <c r="D64" s="91" t="s">
        <v>38</v>
      </c>
      <c r="E64" s="91" t="s">
        <v>38</v>
      </c>
      <c r="F64" s="91" t="s">
        <v>38</v>
      </c>
      <c r="G64" s="91" t="s">
        <v>38</v>
      </c>
      <c r="H64" s="91" t="s">
        <v>38</v>
      </c>
      <c r="I64" s="91" t="s">
        <v>38</v>
      </c>
      <c r="J64" s="91" t="s">
        <v>38</v>
      </c>
      <c r="K64" s="91" t="s">
        <v>38</v>
      </c>
      <c r="L64" s="91" t="s">
        <v>38</v>
      </c>
      <c r="M64" s="91" t="s">
        <v>38</v>
      </c>
      <c r="N64" s="91" t="s">
        <v>38</v>
      </c>
      <c r="O64" s="91" t="s">
        <v>38</v>
      </c>
      <c r="P64" s="91" t="s">
        <v>38</v>
      </c>
      <c r="Q64" s="91" t="s">
        <v>38</v>
      </c>
      <c r="R64" s="91" t="s">
        <v>38</v>
      </c>
      <c r="S64" s="5"/>
    </row>
    <row r="65" spans="1:19" ht="24" customHeight="1">
      <c r="A65" s="5"/>
      <c r="B65" s="93" t="s">
        <v>39</v>
      </c>
      <c r="C65" s="93" t="s">
        <v>39</v>
      </c>
      <c r="D65" s="93" t="s">
        <v>39</v>
      </c>
      <c r="E65" s="93" t="s">
        <v>39</v>
      </c>
      <c r="F65" s="93" t="s">
        <v>39</v>
      </c>
      <c r="G65" s="93" t="s">
        <v>39</v>
      </c>
      <c r="H65" s="35" t="s">
        <v>40</v>
      </c>
      <c r="I65" s="35" t="s">
        <v>40</v>
      </c>
      <c r="J65" s="35" t="s">
        <v>40</v>
      </c>
      <c r="K65" s="35" t="s">
        <v>40</v>
      </c>
      <c r="L65" s="35" t="s">
        <v>40</v>
      </c>
      <c r="M65" s="35" t="s">
        <v>40</v>
      </c>
      <c r="N65" s="35" t="s">
        <v>40</v>
      </c>
      <c r="O65" s="35" t="s">
        <v>40</v>
      </c>
      <c r="P65" s="35" t="s">
        <v>40</v>
      </c>
      <c r="Q65" s="35" t="s">
        <v>40</v>
      </c>
      <c r="R65" s="35" t="s">
        <v>40</v>
      </c>
      <c r="S65" s="5"/>
    </row>
    <row r="66" spans="1:19" ht="24" customHeight="1">
      <c r="A66" s="5"/>
      <c r="B66" s="93" t="s">
        <v>39</v>
      </c>
      <c r="C66" s="93" t="s">
        <v>39</v>
      </c>
      <c r="D66" s="93" t="s">
        <v>39</v>
      </c>
      <c r="E66" s="93" t="s">
        <v>39</v>
      </c>
      <c r="F66" s="93" t="s">
        <v>39</v>
      </c>
      <c r="G66" s="93" t="s">
        <v>39</v>
      </c>
      <c r="H66" s="35" t="s">
        <v>40</v>
      </c>
      <c r="I66" s="35" t="s">
        <v>40</v>
      </c>
      <c r="J66" s="35" t="s">
        <v>40</v>
      </c>
      <c r="K66" s="35" t="s">
        <v>40</v>
      </c>
      <c r="L66" s="35" t="s">
        <v>40</v>
      </c>
      <c r="M66" s="35" t="s">
        <v>40</v>
      </c>
      <c r="N66" s="35" t="s">
        <v>40</v>
      </c>
      <c r="O66" s="35" t="s">
        <v>40</v>
      </c>
      <c r="P66" s="35" t="s">
        <v>40</v>
      </c>
      <c r="Q66" s="35" t="s">
        <v>40</v>
      </c>
      <c r="R66" s="35" t="s">
        <v>40</v>
      </c>
      <c r="S66" s="5"/>
    </row>
    <row r="67" spans="1:19" ht="24" customHeight="1">
      <c r="A67" s="5"/>
      <c r="B67" s="93" t="s">
        <v>41</v>
      </c>
      <c r="C67" s="93" t="s">
        <v>41</v>
      </c>
      <c r="D67" s="93" t="s">
        <v>41</v>
      </c>
      <c r="E67" s="93" t="s">
        <v>41</v>
      </c>
      <c r="F67" s="93" t="s">
        <v>41</v>
      </c>
      <c r="G67" s="93" t="s">
        <v>41</v>
      </c>
      <c r="H67" s="35" t="s">
        <v>42</v>
      </c>
      <c r="I67" s="35" t="s">
        <v>42</v>
      </c>
      <c r="J67" s="35" t="s">
        <v>42</v>
      </c>
      <c r="K67" s="35" t="s">
        <v>42</v>
      </c>
      <c r="L67" s="35" t="s">
        <v>42</v>
      </c>
      <c r="M67" s="35" t="s">
        <v>42</v>
      </c>
      <c r="N67" s="35" t="s">
        <v>42</v>
      </c>
      <c r="O67" s="35" t="s">
        <v>42</v>
      </c>
      <c r="P67" s="35" t="s">
        <v>42</v>
      </c>
      <c r="Q67" s="35" t="s">
        <v>42</v>
      </c>
      <c r="R67" s="35" t="s">
        <v>42</v>
      </c>
      <c r="S67" s="5"/>
    </row>
    <row r="68" spans="1:19" ht="24" customHeight="1">
      <c r="A68" s="5"/>
      <c r="B68" s="93" t="s">
        <v>41</v>
      </c>
      <c r="C68" s="93" t="s">
        <v>41</v>
      </c>
      <c r="D68" s="93" t="s">
        <v>41</v>
      </c>
      <c r="E68" s="93" t="s">
        <v>41</v>
      </c>
      <c r="F68" s="93" t="s">
        <v>41</v>
      </c>
      <c r="G68" s="93" t="s">
        <v>41</v>
      </c>
      <c r="H68" s="35" t="s">
        <v>42</v>
      </c>
      <c r="I68" s="35" t="s">
        <v>42</v>
      </c>
      <c r="J68" s="35" t="s">
        <v>42</v>
      </c>
      <c r="K68" s="35" t="s">
        <v>42</v>
      </c>
      <c r="L68" s="35" t="s">
        <v>42</v>
      </c>
      <c r="M68" s="35" t="s">
        <v>42</v>
      </c>
      <c r="N68" s="35" t="s">
        <v>42</v>
      </c>
      <c r="O68" s="35" t="s">
        <v>42</v>
      </c>
      <c r="P68" s="35" t="s">
        <v>42</v>
      </c>
      <c r="Q68" s="35" t="s">
        <v>42</v>
      </c>
      <c r="R68" s="35" t="s">
        <v>42</v>
      </c>
      <c r="S68" s="5"/>
    </row>
    <row r="69" spans="1:19" ht="24" customHeight="1">
      <c r="A69" s="5"/>
      <c r="B69" s="93" t="s">
        <v>43</v>
      </c>
      <c r="C69" s="93" t="s">
        <v>43</v>
      </c>
      <c r="D69" s="93" t="s">
        <v>43</v>
      </c>
      <c r="E69" s="93" t="s">
        <v>43</v>
      </c>
      <c r="F69" s="93" t="s">
        <v>43</v>
      </c>
      <c r="G69" s="93" t="s">
        <v>43</v>
      </c>
      <c r="H69" s="35" t="s">
        <v>44</v>
      </c>
      <c r="I69" s="35" t="s">
        <v>44</v>
      </c>
      <c r="J69" s="35" t="s">
        <v>44</v>
      </c>
      <c r="K69" s="35" t="s">
        <v>44</v>
      </c>
      <c r="L69" s="35" t="s">
        <v>44</v>
      </c>
      <c r="M69" s="35" t="s">
        <v>44</v>
      </c>
      <c r="N69" s="35" t="s">
        <v>44</v>
      </c>
      <c r="O69" s="35" t="s">
        <v>44</v>
      </c>
      <c r="P69" s="35" t="s">
        <v>44</v>
      </c>
      <c r="Q69" s="35" t="s">
        <v>44</v>
      </c>
      <c r="R69" s="35" t="s">
        <v>44</v>
      </c>
      <c r="S69" s="5"/>
    </row>
    <row r="70" spans="1:19" ht="24" customHeight="1">
      <c r="A70" s="5"/>
      <c r="B70" s="93" t="s">
        <v>43</v>
      </c>
      <c r="C70" s="93" t="s">
        <v>43</v>
      </c>
      <c r="D70" s="93" t="s">
        <v>43</v>
      </c>
      <c r="E70" s="93" t="s">
        <v>43</v>
      </c>
      <c r="F70" s="93" t="s">
        <v>43</v>
      </c>
      <c r="G70" s="93" t="s">
        <v>43</v>
      </c>
      <c r="H70" s="35" t="s">
        <v>44</v>
      </c>
      <c r="I70" s="35" t="s">
        <v>44</v>
      </c>
      <c r="J70" s="35" t="s">
        <v>44</v>
      </c>
      <c r="K70" s="35" t="s">
        <v>44</v>
      </c>
      <c r="L70" s="35" t="s">
        <v>44</v>
      </c>
      <c r="M70" s="35" t="s">
        <v>44</v>
      </c>
      <c r="N70" s="35" t="s">
        <v>44</v>
      </c>
      <c r="O70" s="35" t="s">
        <v>44</v>
      </c>
      <c r="P70" s="35" t="s">
        <v>44</v>
      </c>
      <c r="Q70" s="35" t="s">
        <v>44</v>
      </c>
      <c r="R70" s="35" t="s">
        <v>44</v>
      </c>
      <c r="S70" s="5"/>
    </row>
    <row r="71" spans="1:19" ht="24" customHeight="1">
      <c r="A71" s="5"/>
      <c r="B71" s="93" t="s">
        <v>45</v>
      </c>
      <c r="C71" s="93" t="s">
        <v>45</v>
      </c>
      <c r="D71" s="93" t="s">
        <v>45</v>
      </c>
      <c r="E71" s="93" t="s">
        <v>45</v>
      </c>
      <c r="F71" s="93" t="s">
        <v>45</v>
      </c>
      <c r="G71" s="93" t="s">
        <v>45</v>
      </c>
      <c r="H71" s="35" t="s">
        <v>46</v>
      </c>
      <c r="I71" s="35" t="s">
        <v>46</v>
      </c>
      <c r="J71" s="35" t="s">
        <v>46</v>
      </c>
      <c r="K71" s="35" t="s">
        <v>46</v>
      </c>
      <c r="L71" s="35" t="s">
        <v>46</v>
      </c>
      <c r="M71" s="35" t="s">
        <v>46</v>
      </c>
      <c r="N71" s="35" t="s">
        <v>46</v>
      </c>
      <c r="O71" s="35" t="s">
        <v>46</v>
      </c>
      <c r="P71" s="35" t="s">
        <v>46</v>
      </c>
      <c r="Q71" s="35" t="s">
        <v>46</v>
      </c>
      <c r="R71" s="35" t="s">
        <v>46</v>
      </c>
      <c r="S71" s="5"/>
    </row>
    <row r="72" spans="1:19" ht="24" customHeight="1">
      <c r="A72" s="5"/>
      <c r="B72" s="93" t="s">
        <v>45</v>
      </c>
      <c r="C72" s="93" t="s">
        <v>45</v>
      </c>
      <c r="D72" s="93" t="s">
        <v>45</v>
      </c>
      <c r="E72" s="93" t="s">
        <v>45</v>
      </c>
      <c r="F72" s="93" t="s">
        <v>45</v>
      </c>
      <c r="G72" s="93" t="s">
        <v>45</v>
      </c>
      <c r="H72" s="35" t="s">
        <v>46</v>
      </c>
      <c r="I72" s="35" t="s">
        <v>46</v>
      </c>
      <c r="J72" s="35" t="s">
        <v>46</v>
      </c>
      <c r="K72" s="35" t="s">
        <v>46</v>
      </c>
      <c r="L72" s="35" t="s">
        <v>46</v>
      </c>
      <c r="M72" s="35" t="s">
        <v>46</v>
      </c>
      <c r="N72" s="35" t="s">
        <v>46</v>
      </c>
      <c r="O72" s="35" t="s">
        <v>46</v>
      </c>
      <c r="P72" s="35" t="s">
        <v>46</v>
      </c>
      <c r="Q72" s="35" t="s">
        <v>46</v>
      </c>
      <c r="R72" s="35" t="s">
        <v>46</v>
      </c>
      <c r="S72" s="5"/>
    </row>
    <row r="73" spans="1:19" ht="24" customHeight="1">
      <c r="A73" s="5"/>
      <c r="B73" s="93" t="s">
        <v>47</v>
      </c>
      <c r="C73" s="93" t="s">
        <v>47</v>
      </c>
      <c r="D73" s="93" t="s">
        <v>47</v>
      </c>
      <c r="E73" s="93" t="s">
        <v>47</v>
      </c>
      <c r="F73" s="93" t="s">
        <v>47</v>
      </c>
      <c r="G73" s="93" t="s">
        <v>47</v>
      </c>
      <c r="H73" s="35" t="s">
        <v>48</v>
      </c>
      <c r="I73" s="35" t="s">
        <v>48</v>
      </c>
      <c r="J73" s="35" t="s">
        <v>48</v>
      </c>
      <c r="K73" s="35" t="s">
        <v>48</v>
      </c>
      <c r="L73" s="35" t="s">
        <v>48</v>
      </c>
      <c r="M73" s="35" t="s">
        <v>48</v>
      </c>
      <c r="N73" s="35" t="s">
        <v>48</v>
      </c>
      <c r="O73" s="35" t="s">
        <v>48</v>
      </c>
      <c r="P73" s="35" t="s">
        <v>48</v>
      </c>
      <c r="Q73" s="35" t="s">
        <v>48</v>
      </c>
      <c r="R73" s="35" t="s">
        <v>48</v>
      </c>
      <c r="S73" s="5"/>
    </row>
    <row r="74" spans="1:19" ht="24" customHeight="1">
      <c r="A74" s="5"/>
      <c r="B74" s="93" t="s">
        <v>47</v>
      </c>
      <c r="C74" s="93" t="s">
        <v>47</v>
      </c>
      <c r="D74" s="93" t="s">
        <v>47</v>
      </c>
      <c r="E74" s="93" t="s">
        <v>47</v>
      </c>
      <c r="F74" s="93" t="s">
        <v>47</v>
      </c>
      <c r="G74" s="93" t="s">
        <v>47</v>
      </c>
      <c r="H74" s="35" t="s">
        <v>48</v>
      </c>
      <c r="I74" s="35" t="s">
        <v>48</v>
      </c>
      <c r="J74" s="35" t="s">
        <v>48</v>
      </c>
      <c r="K74" s="35" t="s">
        <v>48</v>
      </c>
      <c r="L74" s="35" t="s">
        <v>48</v>
      </c>
      <c r="M74" s="35" t="s">
        <v>48</v>
      </c>
      <c r="N74" s="35" t="s">
        <v>48</v>
      </c>
      <c r="O74" s="35" t="s">
        <v>48</v>
      </c>
      <c r="P74" s="35" t="s">
        <v>48</v>
      </c>
      <c r="Q74" s="35" t="s">
        <v>48</v>
      </c>
      <c r="R74" s="35" t="s">
        <v>48</v>
      </c>
      <c r="S74" s="5"/>
    </row>
    <row r="75" spans="1:19" ht="24" customHeight="1">
      <c r="A75" s="5"/>
      <c r="B75" s="93" t="s">
        <v>49</v>
      </c>
      <c r="C75" s="93" t="s">
        <v>49</v>
      </c>
      <c r="D75" s="93" t="s">
        <v>49</v>
      </c>
      <c r="E75" s="93" t="s">
        <v>49</v>
      </c>
      <c r="F75" s="93" t="s">
        <v>49</v>
      </c>
      <c r="G75" s="93" t="s">
        <v>49</v>
      </c>
      <c r="H75" s="35" t="s">
        <v>50</v>
      </c>
      <c r="I75" s="35" t="s">
        <v>50</v>
      </c>
      <c r="J75" s="35" t="s">
        <v>50</v>
      </c>
      <c r="K75" s="35" t="s">
        <v>50</v>
      </c>
      <c r="L75" s="35" t="s">
        <v>50</v>
      </c>
      <c r="M75" s="35" t="s">
        <v>50</v>
      </c>
      <c r="N75" s="35" t="s">
        <v>50</v>
      </c>
      <c r="O75" s="35" t="s">
        <v>50</v>
      </c>
      <c r="P75" s="35" t="s">
        <v>50</v>
      </c>
      <c r="Q75" s="35" t="s">
        <v>50</v>
      </c>
      <c r="R75" s="35" t="s">
        <v>50</v>
      </c>
      <c r="S75" s="5"/>
    </row>
    <row r="76" spans="1:19" ht="24" customHeight="1">
      <c r="A76" s="5"/>
      <c r="B76" s="93" t="s">
        <v>49</v>
      </c>
      <c r="C76" s="93" t="s">
        <v>49</v>
      </c>
      <c r="D76" s="93" t="s">
        <v>49</v>
      </c>
      <c r="E76" s="93" t="s">
        <v>49</v>
      </c>
      <c r="F76" s="93" t="s">
        <v>49</v>
      </c>
      <c r="G76" s="93" t="s">
        <v>49</v>
      </c>
      <c r="H76" s="35" t="s">
        <v>50</v>
      </c>
      <c r="I76" s="35" t="s">
        <v>50</v>
      </c>
      <c r="J76" s="35" t="s">
        <v>50</v>
      </c>
      <c r="K76" s="35" t="s">
        <v>50</v>
      </c>
      <c r="L76" s="35" t="s">
        <v>50</v>
      </c>
      <c r="M76" s="35" t="s">
        <v>50</v>
      </c>
      <c r="N76" s="35" t="s">
        <v>50</v>
      </c>
      <c r="O76" s="35" t="s">
        <v>50</v>
      </c>
      <c r="P76" s="35" t="s">
        <v>50</v>
      </c>
      <c r="Q76" s="35" t="s">
        <v>50</v>
      </c>
      <c r="R76" s="35" t="s">
        <v>50</v>
      </c>
      <c r="S76" s="5"/>
    </row>
    <row r="77" spans="1:19" ht="24" customHeight="1">
      <c r="A77" s="5"/>
      <c r="B77" s="93" t="s">
        <v>51</v>
      </c>
      <c r="C77" s="93" t="s">
        <v>51</v>
      </c>
      <c r="D77" s="93" t="s">
        <v>51</v>
      </c>
      <c r="E77" s="93" t="s">
        <v>51</v>
      </c>
      <c r="F77" s="93" t="s">
        <v>51</v>
      </c>
      <c r="G77" s="93" t="s">
        <v>51</v>
      </c>
      <c r="H77" s="35" t="s">
        <v>52</v>
      </c>
      <c r="I77" s="35" t="s">
        <v>52</v>
      </c>
      <c r="J77" s="35" t="s">
        <v>52</v>
      </c>
      <c r="K77" s="35" t="s">
        <v>52</v>
      </c>
      <c r="L77" s="35" t="s">
        <v>52</v>
      </c>
      <c r="M77" s="35" t="s">
        <v>52</v>
      </c>
      <c r="N77" s="35" t="s">
        <v>52</v>
      </c>
      <c r="O77" s="35" t="s">
        <v>52</v>
      </c>
      <c r="P77" s="35" t="s">
        <v>52</v>
      </c>
      <c r="Q77" s="35" t="s">
        <v>52</v>
      </c>
      <c r="R77" s="35" t="s">
        <v>52</v>
      </c>
      <c r="S77" s="5"/>
    </row>
    <row r="78" spans="1:19" ht="24" customHeight="1">
      <c r="A78" s="5"/>
      <c r="B78" s="93" t="s">
        <v>51</v>
      </c>
      <c r="C78" s="93" t="s">
        <v>51</v>
      </c>
      <c r="D78" s="93" t="s">
        <v>51</v>
      </c>
      <c r="E78" s="93" t="s">
        <v>51</v>
      </c>
      <c r="F78" s="93" t="s">
        <v>51</v>
      </c>
      <c r="G78" s="93" t="s">
        <v>51</v>
      </c>
      <c r="H78" s="35" t="s">
        <v>52</v>
      </c>
      <c r="I78" s="35" t="s">
        <v>52</v>
      </c>
      <c r="J78" s="35" t="s">
        <v>52</v>
      </c>
      <c r="K78" s="35" t="s">
        <v>52</v>
      </c>
      <c r="L78" s="35" t="s">
        <v>52</v>
      </c>
      <c r="M78" s="35" t="s">
        <v>52</v>
      </c>
      <c r="N78" s="35" t="s">
        <v>52</v>
      </c>
      <c r="O78" s="35" t="s">
        <v>52</v>
      </c>
      <c r="P78" s="35" t="s">
        <v>52</v>
      </c>
      <c r="Q78" s="35" t="s">
        <v>52</v>
      </c>
      <c r="R78" s="35" t="s">
        <v>52</v>
      </c>
      <c r="S78" s="5"/>
    </row>
    <row r="79" spans="1:19" ht="24" customHeight="1">
      <c r="A79" s="5"/>
      <c r="B79" s="93" t="s">
        <v>53</v>
      </c>
      <c r="C79" s="93" t="s">
        <v>53</v>
      </c>
      <c r="D79" s="93" t="s">
        <v>53</v>
      </c>
      <c r="E79" s="93" t="s">
        <v>53</v>
      </c>
      <c r="F79" s="93" t="s">
        <v>53</v>
      </c>
      <c r="G79" s="93" t="s">
        <v>53</v>
      </c>
      <c r="H79" s="35" t="s">
        <v>54</v>
      </c>
      <c r="I79" s="35" t="s">
        <v>54</v>
      </c>
      <c r="J79" s="35" t="s">
        <v>54</v>
      </c>
      <c r="K79" s="35" t="s">
        <v>54</v>
      </c>
      <c r="L79" s="35" t="s">
        <v>54</v>
      </c>
      <c r="M79" s="35" t="s">
        <v>54</v>
      </c>
      <c r="N79" s="35" t="s">
        <v>54</v>
      </c>
      <c r="O79" s="35" t="s">
        <v>54</v>
      </c>
      <c r="P79" s="35" t="s">
        <v>54</v>
      </c>
      <c r="Q79" s="35" t="s">
        <v>54</v>
      </c>
      <c r="R79" s="35" t="s">
        <v>54</v>
      </c>
      <c r="S79" s="5"/>
    </row>
    <row r="80" spans="1:19" ht="24" customHeight="1">
      <c r="A80" s="5"/>
      <c r="B80" s="93" t="s">
        <v>53</v>
      </c>
      <c r="C80" s="93" t="s">
        <v>53</v>
      </c>
      <c r="D80" s="93" t="s">
        <v>53</v>
      </c>
      <c r="E80" s="93" t="s">
        <v>53</v>
      </c>
      <c r="F80" s="93" t="s">
        <v>53</v>
      </c>
      <c r="G80" s="93" t="s">
        <v>53</v>
      </c>
      <c r="H80" s="35" t="s">
        <v>54</v>
      </c>
      <c r="I80" s="35" t="s">
        <v>54</v>
      </c>
      <c r="J80" s="35" t="s">
        <v>54</v>
      </c>
      <c r="K80" s="35" t="s">
        <v>54</v>
      </c>
      <c r="L80" s="35" t="s">
        <v>54</v>
      </c>
      <c r="M80" s="35" t="s">
        <v>54</v>
      </c>
      <c r="N80" s="35" t="s">
        <v>54</v>
      </c>
      <c r="O80" s="35" t="s">
        <v>54</v>
      </c>
      <c r="P80" s="35" t="s">
        <v>54</v>
      </c>
      <c r="Q80" s="35" t="s">
        <v>54</v>
      </c>
      <c r="R80" s="35" t="s">
        <v>54</v>
      </c>
      <c r="S80" s="5"/>
    </row>
    <row r="81" spans="1:19" ht="24" customHeight="1">
      <c r="A81" s="5"/>
      <c r="B81" s="5"/>
      <c r="C81" s="5"/>
      <c r="D81" s="5"/>
      <c r="E81" s="5"/>
      <c r="F81" s="5"/>
      <c r="G81" s="5"/>
      <c r="H81" s="5"/>
      <c r="I81" s="5"/>
      <c r="J81" s="5"/>
      <c r="K81" s="5"/>
      <c r="L81" s="5"/>
      <c r="M81" s="5"/>
      <c r="N81" s="5"/>
      <c r="O81" s="5"/>
      <c r="P81" s="5"/>
      <c r="Q81" s="5"/>
      <c r="R81" s="5"/>
      <c r="S81" s="5"/>
    </row>
    <row r="82" spans="1:19" ht="24" customHeight="1">
      <c r="A82" s="5"/>
      <c r="B82" s="5"/>
      <c r="C82" s="5"/>
      <c r="D82" s="5"/>
      <c r="E82" s="5"/>
      <c r="F82" s="5"/>
      <c r="G82" s="5"/>
      <c r="H82" s="5"/>
      <c r="I82" s="5"/>
      <c r="J82" s="5"/>
      <c r="K82" s="5"/>
      <c r="L82" s="5"/>
      <c r="M82" s="5"/>
      <c r="N82" s="5"/>
      <c r="O82" s="5"/>
      <c r="P82" s="5"/>
      <c r="Q82" s="5"/>
      <c r="R82" s="5"/>
      <c r="S82" s="5"/>
    </row>
  </sheetData>
  <mergeCells count="79">
    <mergeCell ref="B75:G76"/>
    <mergeCell ref="H75:R76"/>
    <mergeCell ref="B77:G78"/>
    <mergeCell ref="H77:R78"/>
    <mergeCell ref="B79:G80"/>
    <mergeCell ref="H79:R80"/>
    <mergeCell ref="B69:G70"/>
    <mergeCell ref="H69:R70"/>
    <mergeCell ref="B71:G72"/>
    <mergeCell ref="H71:R72"/>
    <mergeCell ref="B73:G74"/>
    <mergeCell ref="H73:R74"/>
    <mergeCell ref="B63:R64"/>
    <mergeCell ref="B65:G66"/>
    <mergeCell ref="H65:R66"/>
    <mergeCell ref="B67:G68"/>
    <mergeCell ref="H67:R68"/>
    <mergeCell ref="B55:G57"/>
    <mergeCell ref="H55:L57"/>
    <mergeCell ref="M55:R57"/>
    <mergeCell ref="B58:G60"/>
    <mergeCell ref="H58:L60"/>
    <mergeCell ref="M58:R60"/>
    <mergeCell ref="B49:G51"/>
    <mergeCell ref="H49:L51"/>
    <mergeCell ref="M49:R51"/>
    <mergeCell ref="B52:G54"/>
    <mergeCell ref="H52:L54"/>
    <mergeCell ref="M52:R54"/>
    <mergeCell ref="B40:R41"/>
    <mergeCell ref="B43:G45"/>
    <mergeCell ref="H43:L45"/>
    <mergeCell ref="M43:R45"/>
    <mergeCell ref="B46:G48"/>
    <mergeCell ref="H46:L48"/>
    <mergeCell ref="M46:R48"/>
    <mergeCell ref="B34:B35"/>
    <mergeCell ref="C34:H35"/>
    <mergeCell ref="I34:R35"/>
    <mergeCell ref="B36:B37"/>
    <mergeCell ref="C36:H37"/>
    <mergeCell ref="I36:R37"/>
    <mergeCell ref="B30:B31"/>
    <mergeCell ref="C30:H31"/>
    <mergeCell ref="I30:R31"/>
    <mergeCell ref="B32:B33"/>
    <mergeCell ref="C32:H33"/>
    <mergeCell ref="I32:R33"/>
    <mergeCell ref="N22:R23"/>
    <mergeCell ref="B26:R27"/>
    <mergeCell ref="B28:B29"/>
    <mergeCell ref="C28:H29"/>
    <mergeCell ref="I28:R29"/>
    <mergeCell ref="B22:F23"/>
    <mergeCell ref="H17:L17"/>
    <mergeCell ref="H18:L20"/>
    <mergeCell ref="H21:L21"/>
    <mergeCell ref="H22:L23"/>
    <mergeCell ref="N13:R13"/>
    <mergeCell ref="N14:R15"/>
    <mergeCell ref="B17:F17"/>
    <mergeCell ref="B18:F20"/>
    <mergeCell ref="B21:F21"/>
    <mergeCell ref="N17:R17"/>
    <mergeCell ref="N18:R20"/>
    <mergeCell ref="N21:R21"/>
    <mergeCell ref="B13:F13"/>
    <mergeCell ref="B14:F15"/>
    <mergeCell ref="H9:L9"/>
    <mergeCell ref="H10:L12"/>
    <mergeCell ref="H13:L13"/>
    <mergeCell ref="H14:L15"/>
    <mergeCell ref="B2:L3"/>
    <mergeCell ref="B4:R4"/>
    <mergeCell ref="B6:R7"/>
    <mergeCell ref="B9:F9"/>
    <mergeCell ref="B10:F12"/>
    <mergeCell ref="N9:R9"/>
    <mergeCell ref="N10:R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375D6"/>
  </sheetPr>
  <dimension ref="A1:S41"/>
  <sheetViews>
    <sheetView showGridLines="0" workbookViewId="0"/>
  </sheetViews>
  <sheetFormatPr defaultRowHeight="13.8"/>
  <cols>
    <col min="1" max="1" width="3.09765625" customWidth="1"/>
    <col min="2" max="18" width="8.19921875" customWidth="1"/>
    <col min="19" max="19" width="3.09765625" customWidth="1"/>
  </cols>
  <sheetData>
    <row r="1" spans="1:19" ht="25.05" customHeight="1">
      <c r="A1" s="5"/>
      <c r="B1" s="5"/>
      <c r="C1" s="5"/>
      <c r="D1" s="5"/>
      <c r="E1" s="5"/>
      <c r="F1" s="5"/>
      <c r="G1" s="5"/>
      <c r="H1" s="5"/>
      <c r="I1" s="5"/>
      <c r="J1" s="5"/>
      <c r="K1" s="5"/>
      <c r="L1" s="5"/>
      <c r="M1" s="5"/>
      <c r="N1" s="5"/>
      <c r="O1" s="5"/>
      <c r="P1" s="5"/>
      <c r="Q1" s="5"/>
      <c r="R1" s="5"/>
      <c r="S1" s="5"/>
    </row>
    <row r="2" spans="1:19" ht="25.05" customHeight="1">
      <c r="A2" s="5"/>
      <c r="B2" s="95" t="s">
        <v>55</v>
      </c>
      <c r="C2" s="95" t="s">
        <v>55</v>
      </c>
      <c r="D2" s="95" t="s">
        <v>55</v>
      </c>
      <c r="E2" s="95" t="s">
        <v>55</v>
      </c>
      <c r="F2" s="95" t="s">
        <v>55</v>
      </c>
      <c r="G2" s="95" t="s">
        <v>55</v>
      </c>
      <c r="H2" s="95" t="s">
        <v>55</v>
      </c>
      <c r="I2" s="95" t="s">
        <v>55</v>
      </c>
      <c r="J2" s="95" t="s">
        <v>55</v>
      </c>
      <c r="K2" s="95" t="s">
        <v>55</v>
      </c>
      <c r="L2" s="95" t="s">
        <v>55</v>
      </c>
      <c r="M2" s="95" t="s">
        <v>55</v>
      </c>
      <c r="N2" s="95" t="s">
        <v>55</v>
      </c>
      <c r="O2" s="95" t="s">
        <v>55</v>
      </c>
      <c r="P2" s="95" t="s">
        <v>55</v>
      </c>
      <c r="Q2" s="95" t="s">
        <v>55</v>
      </c>
      <c r="R2" s="95" t="s">
        <v>55</v>
      </c>
      <c r="S2" s="5"/>
    </row>
    <row r="3" spans="1:19" ht="25.05" customHeight="1">
      <c r="A3" s="5"/>
      <c r="B3" s="95" t="s">
        <v>55</v>
      </c>
      <c r="C3" s="95" t="s">
        <v>55</v>
      </c>
      <c r="D3" s="95" t="s">
        <v>55</v>
      </c>
      <c r="E3" s="95" t="s">
        <v>55</v>
      </c>
      <c r="F3" s="95" t="s">
        <v>55</v>
      </c>
      <c r="G3" s="95" t="s">
        <v>55</v>
      </c>
      <c r="H3" s="95" t="s">
        <v>55</v>
      </c>
      <c r="I3" s="95" t="s">
        <v>55</v>
      </c>
      <c r="J3" s="95" t="s">
        <v>55</v>
      </c>
      <c r="K3" s="95" t="s">
        <v>55</v>
      </c>
      <c r="L3" s="95" t="s">
        <v>55</v>
      </c>
      <c r="M3" s="95" t="s">
        <v>55</v>
      </c>
      <c r="N3" s="95" t="s">
        <v>55</v>
      </c>
      <c r="O3" s="95" t="s">
        <v>55</v>
      </c>
      <c r="P3" s="95" t="s">
        <v>55</v>
      </c>
      <c r="Q3" s="95" t="s">
        <v>55</v>
      </c>
      <c r="R3" s="95" t="s">
        <v>55</v>
      </c>
      <c r="S3" s="5"/>
    </row>
    <row r="4" spans="1:19" ht="25.05" customHeight="1">
      <c r="A4" s="5"/>
      <c r="B4" s="96" t="s">
        <v>56</v>
      </c>
      <c r="C4" s="96" t="s">
        <v>56</v>
      </c>
      <c r="D4" s="96" t="s">
        <v>56</v>
      </c>
      <c r="E4" s="96" t="s">
        <v>56</v>
      </c>
      <c r="F4" s="96" t="s">
        <v>56</v>
      </c>
      <c r="G4" s="96" t="s">
        <v>56</v>
      </c>
      <c r="H4" s="96" t="s">
        <v>56</v>
      </c>
      <c r="I4" s="96" t="s">
        <v>56</v>
      </c>
      <c r="J4" s="96" t="s">
        <v>56</v>
      </c>
      <c r="K4" s="96" t="s">
        <v>56</v>
      </c>
      <c r="L4" s="96" t="s">
        <v>56</v>
      </c>
      <c r="M4" s="96" t="s">
        <v>56</v>
      </c>
      <c r="N4" s="96" t="s">
        <v>56</v>
      </c>
      <c r="O4" s="96" t="s">
        <v>56</v>
      </c>
      <c r="P4" s="96" t="s">
        <v>56</v>
      </c>
      <c r="Q4" s="96" t="s">
        <v>56</v>
      </c>
      <c r="R4" s="96" t="s">
        <v>56</v>
      </c>
      <c r="S4" s="5"/>
    </row>
    <row r="5" spans="1:19" ht="25.05" customHeight="1">
      <c r="A5" s="5"/>
      <c r="B5" s="5"/>
      <c r="C5" s="5"/>
      <c r="D5" s="5"/>
      <c r="E5" s="5"/>
      <c r="F5" s="5"/>
      <c r="G5" s="5"/>
      <c r="H5" s="5"/>
      <c r="I5" s="5"/>
      <c r="J5" s="5"/>
      <c r="K5" s="5"/>
      <c r="L5" s="5"/>
      <c r="M5" s="5"/>
      <c r="N5" s="5"/>
      <c r="O5" s="5"/>
      <c r="P5" s="5"/>
      <c r="Q5" s="5"/>
      <c r="R5" s="5"/>
      <c r="S5" s="5"/>
    </row>
    <row r="6" spans="1:19" ht="25.05" customHeight="1">
      <c r="A6" s="5"/>
      <c r="B6" s="97" t="s">
        <v>57</v>
      </c>
      <c r="C6" s="98" t="s">
        <v>57</v>
      </c>
      <c r="D6" s="98" t="s">
        <v>57</v>
      </c>
      <c r="E6" s="99" t="s">
        <v>57</v>
      </c>
      <c r="F6" s="5"/>
      <c r="G6" s="97" t="s">
        <v>58</v>
      </c>
      <c r="H6" s="98" t="s">
        <v>58</v>
      </c>
      <c r="I6" s="98" t="s">
        <v>58</v>
      </c>
      <c r="J6" s="99" t="s">
        <v>58</v>
      </c>
      <c r="K6" s="5"/>
      <c r="L6" s="97" t="s">
        <v>59</v>
      </c>
      <c r="M6" s="98" t="s">
        <v>59</v>
      </c>
      <c r="N6" s="99" t="s">
        <v>59</v>
      </c>
      <c r="O6" s="5"/>
      <c r="P6" s="97" t="s">
        <v>60</v>
      </c>
      <c r="Q6" s="98" t="s">
        <v>60</v>
      </c>
      <c r="R6" s="99" t="s">
        <v>60</v>
      </c>
      <c r="S6" s="5"/>
    </row>
    <row r="7" spans="1:19" ht="25.05" customHeight="1">
      <c r="A7" s="5"/>
      <c r="B7" s="100" t="s">
        <v>61</v>
      </c>
      <c r="C7" s="101" t="s">
        <v>61</v>
      </c>
      <c r="D7" s="101" t="s">
        <v>61</v>
      </c>
      <c r="E7" s="102" t="s">
        <v>61</v>
      </c>
      <c r="F7" s="5"/>
      <c r="G7" s="106">
        <f>COUNTIFS('04_CONG_VIEC'!$B$5:$B$200,"P1",'04_CONG_VIEC'!$F$5:$F$200,"XONG")/COUNTIF('04_CONG_VIEC'!$B$5:$B$200,"P1")</f>
        <v>0</v>
      </c>
      <c r="H7" s="107"/>
      <c r="I7" s="107"/>
      <c r="J7" s="108"/>
      <c r="K7" s="5"/>
      <c r="L7" s="109">
        <f>COUNTIFS(E20:E25,"BỊ CHẶN")</f>
        <v>5</v>
      </c>
      <c r="M7" s="110"/>
      <c r="N7" s="111"/>
      <c r="O7" s="5"/>
      <c r="P7" s="100">
        <f>COUNTIFS('04_CONG_VIEC'!$F$5:$F$200,"ĐANG LÀM")</f>
        <v>1</v>
      </c>
      <c r="Q7" s="101"/>
      <c r="R7" s="102"/>
      <c r="S7" s="5"/>
    </row>
    <row r="8" spans="1:19" ht="25.05" customHeight="1">
      <c r="A8" s="5"/>
      <c r="B8" s="100" t="s">
        <v>61</v>
      </c>
      <c r="C8" s="101" t="s">
        <v>61</v>
      </c>
      <c r="D8" s="101" t="s">
        <v>61</v>
      </c>
      <c r="E8" s="102" t="s">
        <v>61</v>
      </c>
      <c r="F8" s="5"/>
      <c r="G8" s="106"/>
      <c r="H8" s="107"/>
      <c r="I8" s="107"/>
      <c r="J8" s="108"/>
      <c r="K8" s="5"/>
      <c r="L8" s="109"/>
      <c r="M8" s="110"/>
      <c r="N8" s="111"/>
      <c r="O8" s="5"/>
      <c r="P8" s="100"/>
      <c r="Q8" s="101"/>
      <c r="R8" s="102"/>
      <c r="S8" s="5"/>
    </row>
    <row r="9" spans="1:19" ht="25.05" customHeight="1">
      <c r="A9" s="5"/>
      <c r="B9" s="37" t="s">
        <v>62</v>
      </c>
      <c r="C9" s="38" t="s">
        <v>62</v>
      </c>
      <c r="D9" s="38" t="s">
        <v>62</v>
      </c>
      <c r="E9" s="39" t="s">
        <v>62</v>
      </c>
      <c r="F9" s="5"/>
      <c r="G9" s="37" t="s">
        <v>63</v>
      </c>
      <c r="H9" s="38" t="s">
        <v>63</v>
      </c>
      <c r="I9" s="38" t="s">
        <v>63</v>
      </c>
      <c r="J9" s="39" t="s">
        <v>63</v>
      </c>
      <c r="K9" s="5"/>
      <c r="L9" s="37" t="s">
        <v>64</v>
      </c>
      <c r="M9" s="38" t="s">
        <v>64</v>
      </c>
      <c r="N9" s="39" t="s">
        <v>64</v>
      </c>
      <c r="O9" s="5"/>
      <c r="P9" s="37" t="s">
        <v>65</v>
      </c>
      <c r="Q9" s="38" t="s">
        <v>65</v>
      </c>
      <c r="R9" s="39" t="s">
        <v>65</v>
      </c>
      <c r="S9" s="5"/>
    </row>
    <row r="10" spans="1:19" ht="25.05" customHeight="1">
      <c r="A10" s="5"/>
      <c r="B10" s="103" t="s">
        <v>62</v>
      </c>
      <c r="C10" s="104" t="s">
        <v>62</v>
      </c>
      <c r="D10" s="104" t="s">
        <v>62</v>
      </c>
      <c r="E10" s="105" t="s">
        <v>62</v>
      </c>
      <c r="F10" s="5"/>
      <c r="G10" s="103" t="s">
        <v>63</v>
      </c>
      <c r="H10" s="104" t="s">
        <v>63</v>
      </c>
      <c r="I10" s="104" t="s">
        <v>63</v>
      </c>
      <c r="J10" s="105" t="s">
        <v>63</v>
      </c>
      <c r="K10" s="5"/>
      <c r="L10" s="103" t="s">
        <v>64</v>
      </c>
      <c r="M10" s="104" t="s">
        <v>64</v>
      </c>
      <c r="N10" s="105" t="s">
        <v>64</v>
      </c>
      <c r="O10" s="5"/>
      <c r="P10" s="103" t="s">
        <v>65</v>
      </c>
      <c r="Q10" s="104" t="s">
        <v>65</v>
      </c>
      <c r="R10" s="105" t="s">
        <v>65</v>
      </c>
      <c r="S10" s="5"/>
    </row>
    <row r="11" spans="1:19" ht="25.05" customHeight="1">
      <c r="A11" s="5"/>
      <c r="B11" s="5"/>
      <c r="C11" s="5"/>
      <c r="D11" s="5"/>
      <c r="E11" s="5"/>
      <c r="F11" s="5"/>
      <c r="G11" s="5"/>
      <c r="H11" s="5"/>
      <c r="I11" s="5"/>
      <c r="J11" s="5"/>
      <c r="K11" s="5"/>
      <c r="L11" s="5"/>
      <c r="M11" s="5"/>
      <c r="N11" s="5"/>
      <c r="O11" s="5"/>
      <c r="P11" s="5"/>
      <c r="Q11" s="5"/>
      <c r="R11" s="5"/>
      <c r="S11" s="5"/>
    </row>
    <row r="12" spans="1:19" ht="25.05" customHeight="1">
      <c r="A12" s="5"/>
      <c r="B12" s="112" t="s">
        <v>66</v>
      </c>
      <c r="C12" s="112" t="s">
        <v>66</v>
      </c>
      <c r="D12" s="112" t="s">
        <v>66</v>
      </c>
      <c r="E12" s="112" t="s">
        <v>66</v>
      </c>
      <c r="F12" s="112" t="s">
        <v>66</v>
      </c>
      <c r="G12" s="112" t="s">
        <v>66</v>
      </c>
      <c r="H12" s="112" t="s">
        <v>66</v>
      </c>
      <c r="I12" s="112" t="s">
        <v>66</v>
      </c>
      <c r="J12" s="5"/>
      <c r="K12" s="114" t="s">
        <v>67</v>
      </c>
      <c r="L12" s="114" t="s">
        <v>67</v>
      </c>
      <c r="M12" s="114" t="s">
        <v>67</v>
      </c>
      <c r="N12" s="114" t="s">
        <v>67</v>
      </c>
      <c r="O12" s="114" t="s">
        <v>67</v>
      </c>
      <c r="P12" s="114" t="s">
        <v>67</v>
      </c>
      <c r="Q12" s="114" t="s">
        <v>67</v>
      </c>
      <c r="R12" s="114" t="s">
        <v>67</v>
      </c>
      <c r="S12" s="5"/>
    </row>
    <row r="13" spans="1:19" ht="25.05" customHeight="1">
      <c r="A13" s="5"/>
      <c r="B13" s="113" t="s">
        <v>68</v>
      </c>
      <c r="C13" s="113" t="s">
        <v>68</v>
      </c>
      <c r="D13" s="113" t="s">
        <v>68</v>
      </c>
      <c r="E13" s="113" t="s">
        <v>68</v>
      </c>
      <c r="F13" s="113" t="s">
        <v>68</v>
      </c>
      <c r="G13" s="113" t="s">
        <v>68</v>
      </c>
      <c r="H13" s="113" t="s">
        <v>68</v>
      </c>
      <c r="I13" s="113" t="s">
        <v>68</v>
      </c>
      <c r="J13" s="5"/>
      <c r="K13" s="38" t="s">
        <v>69</v>
      </c>
      <c r="L13" s="38" t="s">
        <v>69</v>
      </c>
      <c r="M13" s="38" t="s">
        <v>69</v>
      </c>
      <c r="N13" s="115" t="str">
        <f>IF(COUNTIFS('04_CONG_VIEC'!$B$5:$B$200,"P1",'04_CONG_VIEC'!$F$5:$F$200,"&lt;&gt;XONG")=0,"XONG","ĐANG LÀM")</f>
        <v>ĐANG LÀM</v>
      </c>
      <c r="O13" s="115"/>
      <c r="P13" s="115"/>
      <c r="Q13" s="115"/>
      <c r="R13" s="115"/>
      <c r="S13" s="5"/>
    </row>
    <row r="14" spans="1:19" ht="25.05" customHeight="1">
      <c r="A14" s="5"/>
      <c r="B14" s="113" t="s">
        <v>68</v>
      </c>
      <c r="C14" s="113" t="s">
        <v>68</v>
      </c>
      <c r="D14" s="113" t="s">
        <v>68</v>
      </c>
      <c r="E14" s="113" t="s">
        <v>68</v>
      </c>
      <c r="F14" s="113" t="s">
        <v>68</v>
      </c>
      <c r="G14" s="113" t="s">
        <v>68</v>
      </c>
      <c r="H14" s="113" t="s">
        <v>68</v>
      </c>
      <c r="I14" s="113" t="s">
        <v>68</v>
      </c>
      <c r="J14" s="5"/>
      <c r="K14" s="38" t="s">
        <v>70</v>
      </c>
      <c r="L14" s="38" t="s">
        <v>70</v>
      </c>
      <c r="M14" s="38" t="s">
        <v>70</v>
      </c>
      <c r="N14" s="115" t="str">
        <f>IF(COUNTIFS('04_CONG_VIEC'!$B$5:$B$200,"P1",'04_CONG_VIEC'!$F$5:$F$200,"&lt;&gt;XONG")=0,"ĐÃ PASS","CHƯA PASS")</f>
        <v>CHƯA PASS</v>
      </c>
      <c r="O14" s="115"/>
      <c r="P14" s="115"/>
      <c r="Q14" s="115"/>
      <c r="R14" s="115"/>
      <c r="S14" s="5"/>
    </row>
    <row r="15" spans="1:19" ht="39" customHeight="1">
      <c r="A15" s="5"/>
      <c r="B15" s="113" t="s">
        <v>68</v>
      </c>
      <c r="C15" s="113" t="s">
        <v>68</v>
      </c>
      <c r="D15" s="113" t="s">
        <v>68</v>
      </c>
      <c r="E15" s="113" t="s">
        <v>68</v>
      </c>
      <c r="F15" s="113" t="s">
        <v>68</v>
      </c>
      <c r="G15" s="113" t="s">
        <v>68</v>
      </c>
      <c r="H15" s="113" t="s">
        <v>68</v>
      </c>
      <c r="I15" s="113" t="s">
        <v>68</v>
      </c>
      <c r="J15" s="5"/>
      <c r="K15" s="38" t="s">
        <v>71</v>
      </c>
      <c r="L15" s="38" t="s">
        <v>71</v>
      </c>
      <c r="M15" s="38" t="s">
        <v>71</v>
      </c>
      <c r="N15" s="116" t="str">
        <f>IF(N14="ĐÃ PASS","ĐỦ ĐIỀU KIỆN LẬP PHASE 2","CHƯA ĐƯỢC BẮT ĐẦU CHÍNH THỨC")</f>
        <v>CHƯA ĐƯỢC BẮT ĐẦU CHÍNH THỨC</v>
      </c>
      <c r="O15" s="116"/>
      <c r="P15" s="116"/>
      <c r="Q15" s="116"/>
      <c r="R15" s="116"/>
      <c r="S15" s="5"/>
    </row>
    <row r="16" spans="1:19" ht="39" customHeight="1">
      <c r="A16" s="5"/>
      <c r="B16" s="113" t="s">
        <v>68</v>
      </c>
      <c r="C16" s="113" t="s">
        <v>68</v>
      </c>
      <c r="D16" s="113" t="s">
        <v>68</v>
      </c>
      <c r="E16" s="113" t="s">
        <v>68</v>
      </c>
      <c r="F16" s="113" t="s">
        <v>68</v>
      </c>
      <c r="G16" s="113" t="s">
        <v>68</v>
      </c>
      <c r="H16" s="113" t="s">
        <v>68</v>
      </c>
      <c r="I16" s="113" t="s">
        <v>68</v>
      </c>
      <c r="J16" s="5"/>
      <c r="K16" s="38" t="s">
        <v>72</v>
      </c>
      <c r="L16" s="38" t="s">
        <v>72</v>
      </c>
      <c r="M16" s="38" t="s">
        <v>72</v>
      </c>
      <c r="N16" s="116" t="s">
        <v>73</v>
      </c>
      <c r="O16" s="116" t="s">
        <v>73</v>
      </c>
      <c r="P16" s="116" t="s">
        <v>73</v>
      </c>
      <c r="Q16" s="116" t="s">
        <v>73</v>
      </c>
      <c r="R16" s="116" t="s">
        <v>73</v>
      </c>
      <c r="S16" s="5"/>
    </row>
    <row r="17" spans="1:19" ht="25.05" customHeight="1">
      <c r="A17" s="5"/>
      <c r="B17" s="5"/>
      <c r="C17" s="5"/>
      <c r="D17" s="5"/>
      <c r="E17" s="5"/>
      <c r="F17" s="5"/>
      <c r="G17" s="5"/>
      <c r="H17" s="5"/>
      <c r="I17" s="5"/>
      <c r="J17" s="5"/>
      <c r="K17" s="5"/>
      <c r="L17" s="5"/>
      <c r="M17" s="5"/>
      <c r="N17" s="5"/>
      <c r="O17" s="5"/>
      <c r="P17" s="5"/>
      <c r="Q17" s="5"/>
      <c r="R17" s="5"/>
      <c r="S17" s="5"/>
    </row>
    <row r="18" spans="1:19" ht="25.05" customHeight="1">
      <c r="A18" s="5"/>
      <c r="B18" s="112" t="s">
        <v>74</v>
      </c>
      <c r="C18" s="112" t="s">
        <v>74</v>
      </c>
      <c r="D18" s="112" t="s">
        <v>74</v>
      </c>
      <c r="E18" s="112" t="s">
        <v>74</v>
      </c>
      <c r="F18" s="112" t="s">
        <v>74</v>
      </c>
      <c r="G18" s="112" t="s">
        <v>74</v>
      </c>
      <c r="H18" s="112" t="s">
        <v>74</v>
      </c>
      <c r="I18" s="112" t="s">
        <v>74</v>
      </c>
      <c r="J18" s="112" t="s">
        <v>74</v>
      </c>
      <c r="K18" s="112" t="s">
        <v>74</v>
      </c>
      <c r="L18" s="112" t="s">
        <v>74</v>
      </c>
      <c r="M18" s="112" t="s">
        <v>74</v>
      </c>
      <c r="N18" s="112" t="s">
        <v>74</v>
      </c>
      <c r="O18" s="112" t="s">
        <v>74</v>
      </c>
      <c r="P18" s="112" t="s">
        <v>74</v>
      </c>
      <c r="Q18" s="112" t="s">
        <v>74</v>
      </c>
      <c r="R18" s="112" t="s">
        <v>74</v>
      </c>
      <c r="S18" s="5"/>
    </row>
    <row r="19" spans="1:19" ht="34.049999999999997" customHeight="1">
      <c r="A19" s="5"/>
      <c r="B19" s="117" t="s">
        <v>75</v>
      </c>
      <c r="C19" s="117" t="s">
        <v>75</v>
      </c>
      <c r="D19" s="117" t="s">
        <v>75</v>
      </c>
      <c r="E19" s="117" t="s">
        <v>69</v>
      </c>
      <c r="F19" s="117" t="s">
        <v>69</v>
      </c>
      <c r="G19" s="117" t="s">
        <v>69</v>
      </c>
      <c r="H19" s="117" t="s">
        <v>76</v>
      </c>
      <c r="I19" s="117" t="s">
        <v>76</v>
      </c>
      <c r="J19" s="117" t="s">
        <v>76</v>
      </c>
      <c r="K19" s="117" t="s">
        <v>76</v>
      </c>
      <c r="L19" s="117" t="s">
        <v>76</v>
      </c>
      <c r="M19" s="117" t="s">
        <v>76</v>
      </c>
      <c r="N19" s="117" t="s">
        <v>76</v>
      </c>
      <c r="O19" s="117" t="s">
        <v>77</v>
      </c>
      <c r="P19" s="117" t="s">
        <v>77</v>
      </c>
      <c r="Q19" s="117" t="s">
        <v>77</v>
      </c>
      <c r="R19" s="117" t="s">
        <v>77</v>
      </c>
      <c r="S19" s="5"/>
    </row>
    <row r="20" spans="1:19" ht="45" customHeight="1">
      <c r="A20" s="5"/>
      <c r="B20" s="93" t="s">
        <v>78</v>
      </c>
      <c r="C20" s="93" t="s">
        <v>78</v>
      </c>
      <c r="D20" s="93" t="s">
        <v>78</v>
      </c>
      <c r="E20" s="118" t="str">
        <f>IF(AND(VLOOKUP("P1-T001",'04_CONG_VIEC'!$A$5:$F$200,6,FALSE)="XONG",VLOOKUP("P1-T002",'04_CONG_VIEC'!$A$5:$F$200,6,FALSE)="XONG",VLOOKUP("P1-T003",'04_CONG_VIEC'!$A$5:$F$200,6,FALSE)="XONG"),"XONG",IF(OR(VLOOKUP("P1-T001",'04_CONG_VIEC'!$A$5:$F$200,6,FALSE)="BỊ CHẶN",VLOOKUP("P1-T002",'04_CONG_VIEC'!$A$5:$F$200,6,FALSE)="BỊ CHẶN",VLOOKUP("P1-T003",'04_CONG_VIEC'!$A$5:$F$200,6,FALSE)="BỊ CHẶN"),"BỊ CHẶN","ĐANG LÀM"))</f>
        <v>ĐANG LÀM</v>
      </c>
      <c r="F20" s="118"/>
      <c r="G20" s="118"/>
      <c r="H20" s="35" t="s">
        <v>79</v>
      </c>
      <c r="I20" s="35" t="s">
        <v>79</v>
      </c>
      <c r="J20" s="35" t="s">
        <v>79</v>
      </c>
      <c r="K20" s="35" t="s">
        <v>79</v>
      </c>
      <c r="L20" s="35" t="s">
        <v>79</v>
      </c>
      <c r="M20" s="35" t="s">
        <v>79</v>
      </c>
      <c r="N20" s="35" t="s">
        <v>79</v>
      </c>
      <c r="O20" s="38" t="s">
        <v>80</v>
      </c>
      <c r="P20" s="38" t="s">
        <v>80</v>
      </c>
      <c r="Q20" s="38" t="s">
        <v>80</v>
      </c>
      <c r="R20" s="38" t="s">
        <v>80</v>
      </c>
      <c r="S20" s="5"/>
    </row>
    <row r="21" spans="1:19" ht="45" customHeight="1">
      <c r="A21" s="5"/>
      <c r="B21" s="119" t="s">
        <v>81</v>
      </c>
      <c r="C21" s="119" t="s">
        <v>81</v>
      </c>
      <c r="D21" s="119" t="s">
        <v>81</v>
      </c>
      <c r="E21" s="120" t="str">
        <f>IF(AND(VLOOKUP("P1-T005",'04_CONG_VIEC'!$A$5:$F$200,6,FALSE)="XONG",VLOOKUP("P1-T006",'04_CONG_VIEC'!$A$5:$F$200,6,FALSE)="XONG"),"XONG",IF(OR(VLOOKUP("P1-T005",'04_CONG_VIEC'!$A$5:$F$200,6,FALSE)="BỊ CHẶN",VLOOKUP("P1-T006",'04_CONG_VIEC'!$A$5:$F$200,6,FALSE)="BỊ CHẶN"),"BỊ CHẶN","CHỜ"))</f>
        <v>BỊ CHẶN</v>
      </c>
      <c r="F21" s="120"/>
      <c r="G21" s="120"/>
      <c r="H21" s="121" t="s">
        <v>82</v>
      </c>
      <c r="I21" s="121" t="s">
        <v>82</v>
      </c>
      <c r="J21" s="121" t="s">
        <v>82</v>
      </c>
      <c r="K21" s="121" t="s">
        <v>82</v>
      </c>
      <c r="L21" s="121" t="s">
        <v>82</v>
      </c>
      <c r="M21" s="121" t="s">
        <v>82</v>
      </c>
      <c r="N21" s="121" t="s">
        <v>82</v>
      </c>
      <c r="O21" s="122" t="s">
        <v>83</v>
      </c>
      <c r="P21" s="122" t="s">
        <v>83</v>
      </c>
      <c r="Q21" s="122" t="s">
        <v>83</v>
      </c>
      <c r="R21" s="122" t="s">
        <v>83</v>
      </c>
      <c r="S21" s="5"/>
    </row>
    <row r="22" spans="1:19" ht="45" customHeight="1">
      <c r="A22" s="5"/>
      <c r="B22" s="93" t="s">
        <v>84</v>
      </c>
      <c r="C22" s="93" t="s">
        <v>84</v>
      </c>
      <c r="D22" s="93" t="s">
        <v>84</v>
      </c>
      <c r="E22" s="118" t="str">
        <f>VLOOKUP("P1-T007",'04_CONG_VIEC'!$A$5:$F$200,6,FALSE)</f>
        <v>BỊ CHẶN</v>
      </c>
      <c r="F22" s="118"/>
      <c r="G22" s="118"/>
      <c r="H22" s="35" t="s">
        <v>85</v>
      </c>
      <c r="I22" s="35" t="s">
        <v>85</v>
      </c>
      <c r="J22" s="35" t="s">
        <v>85</v>
      </c>
      <c r="K22" s="35" t="s">
        <v>85</v>
      </c>
      <c r="L22" s="35" t="s">
        <v>85</v>
      </c>
      <c r="M22" s="35" t="s">
        <v>85</v>
      </c>
      <c r="N22" s="35" t="s">
        <v>85</v>
      </c>
      <c r="O22" s="38" t="s">
        <v>86</v>
      </c>
      <c r="P22" s="38" t="s">
        <v>86</v>
      </c>
      <c r="Q22" s="38" t="s">
        <v>86</v>
      </c>
      <c r="R22" s="38" t="s">
        <v>86</v>
      </c>
      <c r="S22" s="5"/>
    </row>
    <row r="23" spans="1:19" ht="45" customHeight="1">
      <c r="A23" s="5"/>
      <c r="B23" s="119" t="s">
        <v>87</v>
      </c>
      <c r="C23" s="119" t="s">
        <v>87</v>
      </c>
      <c r="D23" s="119" t="s">
        <v>87</v>
      </c>
      <c r="E23" s="120" t="str">
        <f>IF(AND(VLOOKUP("P1-T009",'04_CONG_VIEC'!$A$5:$F$200,6,FALSE)="XONG",VLOOKUP("P1-T010",'04_CONG_VIEC'!$A$5:$F$200,6,FALSE)="XONG"),"XONG",IF(OR(VLOOKUP("P1-T008",'04_CONG_VIEC'!$A$5:$F$200,6,FALSE)="BỊ CHẶN",VLOOKUP("P1-T009",'04_CONG_VIEC'!$A$5:$F$200,6,FALSE)="BỊ CHẶN",VLOOKUP("P1-T010",'04_CONG_VIEC'!$A$5:$F$200,6,FALSE)="BỊ CHẶN"),"BỊ CHẶN","CHỜ"))</f>
        <v>BỊ CHẶN</v>
      </c>
      <c r="F23" s="120"/>
      <c r="G23" s="120"/>
      <c r="H23" s="121" t="s">
        <v>88</v>
      </c>
      <c r="I23" s="121" t="s">
        <v>88</v>
      </c>
      <c r="J23" s="121" t="s">
        <v>88</v>
      </c>
      <c r="K23" s="121" t="s">
        <v>88</v>
      </c>
      <c r="L23" s="121" t="s">
        <v>88</v>
      </c>
      <c r="M23" s="121" t="s">
        <v>88</v>
      </c>
      <c r="N23" s="121" t="s">
        <v>88</v>
      </c>
      <c r="O23" s="122" t="s">
        <v>89</v>
      </c>
      <c r="P23" s="122" t="s">
        <v>89</v>
      </c>
      <c r="Q23" s="122" t="s">
        <v>89</v>
      </c>
      <c r="R23" s="122" t="s">
        <v>89</v>
      </c>
      <c r="S23" s="5"/>
    </row>
    <row r="24" spans="1:19" ht="45" customHeight="1">
      <c r="A24" s="5"/>
      <c r="B24" s="93" t="s">
        <v>90</v>
      </c>
      <c r="C24" s="93" t="s">
        <v>90</v>
      </c>
      <c r="D24" s="93" t="s">
        <v>90</v>
      </c>
      <c r="E24" s="118" t="str">
        <f>VLOOKUP("P1-T011",'04_CONG_VIEC'!$A$5:$F$200,6,FALSE)</f>
        <v>BỊ CHẶN</v>
      </c>
      <c r="F24" s="118"/>
      <c r="G24" s="118"/>
      <c r="H24" s="35" t="s">
        <v>91</v>
      </c>
      <c r="I24" s="35" t="s">
        <v>91</v>
      </c>
      <c r="J24" s="35" t="s">
        <v>91</v>
      </c>
      <c r="K24" s="35" t="s">
        <v>91</v>
      </c>
      <c r="L24" s="35" t="s">
        <v>91</v>
      </c>
      <c r="M24" s="35" t="s">
        <v>91</v>
      </c>
      <c r="N24" s="35" t="s">
        <v>91</v>
      </c>
      <c r="O24" s="38" t="s">
        <v>92</v>
      </c>
      <c r="P24" s="38" t="s">
        <v>92</v>
      </c>
      <c r="Q24" s="38" t="s">
        <v>92</v>
      </c>
      <c r="R24" s="38" t="s">
        <v>92</v>
      </c>
      <c r="S24" s="5"/>
    </row>
    <row r="25" spans="1:19" ht="45" customHeight="1">
      <c r="A25" s="5"/>
      <c r="B25" s="119" t="s">
        <v>93</v>
      </c>
      <c r="C25" s="119" t="s">
        <v>93</v>
      </c>
      <c r="D25" s="119" t="s">
        <v>93</v>
      </c>
      <c r="E25" s="120" t="str">
        <f>VLOOKUP("P1-T012",'04_CONG_VIEC'!$A$5:$F$200,6,FALSE)</f>
        <v>BỊ CHẶN</v>
      </c>
      <c r="F25" s="120"/>
      <c r="G25" s="120"/>
      <c r="H25" s="121" t="s">
        <v>94</v>
      </c>
      <c r="I25" s="121" t="s">
        <v>94</v>
      </c>
      <c r="J25" s="121" t="s">
        <v>94</v>
      </c>
      <c r="K25" s="121" t="s">
        <v>94</v>
      </c>
      <c r="L25" s="121" t="s">
        <v>94</v>
      </c>
      <c r="M25" s="121" t="s">
        <v>94</v>
      </c>
      <c r="N25" s="121" t="s">
        <v>94</v>
      </c>
      <c r="O25" s="122" t="s">
        <v>95</v>
      </c>
      <c r="P25" s="122" t="s">
        <v>95</v>
      </c>
      <c r="Q25" s="122" t="s">
        <v>95</v>
      </c>
      <c r="R25" s="122" t="s">
        <v>95</v>
      </c>
      <c r="S25" s="5"/>
    </row>
    <row r="26" spans="1:19" ht="25.05" customHeight="1">
      <c r="A26" s="5"/>
      <c r="B26" s="5"/>
      <c r="C26" s="5"/>
      <c r="D26" s="5"/>
      <c r="E26" s="5"/>
      <c r="F26" s="5"/>
      <c r="G26" s="5"/>
      <c r="H26" s="5"/>
      <c r="I26" s="5"/>
      <c r="J26" s="5"/>
      <c r="K26" s="5"/>
      <c r="L26" s="5"/>
      <c r="M26" s="5"/>
      <c r="N26" s="5"/>
      <c r="O26" s="5"/>
      <c r="P26" s="5"/>
      <c r="Q26" s="5"/>
      <c r="R26" s="5"/>
      <c r="S26" s="5"/>
    </row>
    <row r="27" spans="1:19" ht="25.05" customHeight="1">
      <c r="A27" s="5"/>
      <c r="B27" s="5"/>
      <c r="C27" s="5"/>
      <c r="D27" s="5"/>
      <c r="E27" s="5"/>
      <c r="F27" s="5"/>
      <c r="G27" s="5"/>
      <c r="H27" s="5"/>
      <c r="I27" s="5"/>
      <c r="J27" s="5"/>
      <c r="K27" s="5"/>
      <c r="L27" s="5"/>
      <c r="M27" s="5"/>
      <c r="N27" s="5"/>
      <c r="O27" s="5"/>
      <c r="P27" s="5"/>
      <c r="Q27" s="5"/>
      <c r="R27" s="5"/>
      <c r="S27" s="5"/>
    </row>
    <row r="28" spans="1:19" ht="25.05" customHeight="1">
      <c r="A28" s="5"/>
      <c r="B28" s="112" t="s">
        <v>96</v>
      </c>
      <c r="C28" s="112" t="s">
        <v>96</v>
      </c>
      <c r="D28" s="112" t="s">
        <v>96</v>
      </c>
      <c r="E28" s="112" t="s">
        <v>96</v>
      </c>
      <c r="F28" s="112" t="s">
        <v>96</v>
      </c>
      <c r="G28" s="112" t="s">
        <v>96</v>
      </c>
      <c r="H28" s="112" t="s">
        <v>96</v>
      </c>
      <c r="I28" s="112" t="s">
        <v>96</v>
      </c>
      <c r="J28" s="112" t="s">
        <v>96</v>
      </c>
      <c r="K28" s="112" t="s">
        <v>96</v>
      </c>
      <c r="L28" s="112" t="s">
        <v>96</v>
      </c>
      <c r="M28" s="112" t="s">
        <v>96</v>
      </c>
      <c r="N28" s="112" t="s">
        <v>96</v>
      </c>
      <c r="O28" s="112" t="s">
        <v>96</v>
      </c>
      <c r="P28" s="112" t="s">
        <v>96</v>
      </c>
      <c r="Q28" s="112" t="s">
        <v>96</v>
      </c>
      <c r="R28" s="112" t="s">
        <v>96</v>
      </c>
      <c r="S28" s="5"/>
    </row>
    <row r="29" spans="1:19" ht="34.049999999999997" customHeight="1">
      <c r="A29" s="5"/>
      <c r="B29" s="117" t="s">
        <v>97</v>
      </c>
      <c r="C29" s="117" t="s">
        <v>97</v>
      </c>
      <c r="D29" s="117" t="s">
        <v>98</v>
      </c>
      <c r="E29" s="117" t="s">
        <v>98</v>
      </c>
      <c r="F29" s="117" t="s">
        <v>98</v>
      </c>
      <c r="G29" s="117" t="s">
        <v>98</v>
      </c>
      <c r="H29" s="117" t="s">
        <v>98</v>
      </c>
      <c r="I29" s="117" t="s">
        <v>98</v>
      </c>
      <c r="J29" s="117" t="s">
        <v>99</v>
      </c>
      <c r="K29" s="117" t="s">
        <v>99</v>
      </c>
      <c r="L29" s="117" t="s">
        <v>99</v>
      </c>
      <c r="M29" s="117" t="s">
        <v>99</v>
      </c>
      <c r="N29" s="117" t="s">
        <v>99</v>
      </c>
      <c r="O29" s="117" t="s">
        <v>99</v>
      </c>
      <c r="P29" s="117" t="s">
        <v>99</v>
      </c>
      <c r="Q29" s="117" t="s">
        <v>99</v>
      </c>
      <c r="R29" s="117" t="s">
        <v>99</v>
      </c>
      <c r="S29" s="5"/>
    </row>
    <row r="30" spans="1:19" ht="40.950000000000003" customHeight="1">
      <c r="A30" s="5"/>
      <c r="B30" s="123">
        <v>1</v>
      </c>
      <c r="C30" s="123">
        <v>1</v>
      </c>
      <c r="D30" s="93" t="s">
        <v>100</v>
      </c>
      <c r="E30" s="93" t="s">
        <v>100</v>
      </c>
      <c r="F30" s="93" t="s">
        <v>100</v>
      </c>
      <c r="G30" s="93" t="s">
        <v>100</v>
      </c>
      <c r="H30" s="93" t="s">
        <v>100</v>
      </c>
      <c r="I30" s="93" t="s">
        <v>100</v>
      </c>
      <c r="J30" s="35" t="s">
        <v>101</v>
      </c>
      <c r="K30" s="35" t="s">
        <v>101</v>
      </c>
      <c r="L30" s="35" t="s">
        <v>101</v>
      </c>
      <c r="M30" s="35" t="s">
        <v>101</v>
      </c>
      <c r="N30" s="35" t="s">
        <v>101</v>
      </c>
      <c r="O30" s="35" t="s">
        <v>101</v>
      </c>
      <c r="P30" s="35" t="s">
        <v>101</v>
      </c>
      <c r="Q30" s="35" t="s">
        <v>101</v>
      </c>
      <c r="R30" s="35" t="s">
        <v>101</v>
      </c>
      <c r="S30" s="5"/>
    </row>
    <row r="31" spans="1:19" ht="40.950000000000003" customHeight="1">
      <c r="A31" s="5"/>
      <c r="B31" s="123">
        <v>2</v>
      </c>
      <c r="C31" s="123">
        <v>2</v>
      </c>
      <c r="D31" s="93" t="s">
        <v>102</v>
      </c>
      <c r="E31" s="93" t="s">
        <v>102</v>
      </c>
      <c r="F31" s="93" t="s">
        <v>102</v>
      </c>
      <c r="G31" s="93" t="s">
        <v>102</v>
      </c>
      <c r="H31" s="93" t="s">
        <v>102</v>
      </c>
      <c r="I31" s="93" t="s">
        <v>102</v>
      </c>
      <c r="J31" s="35" t="s">
        <v>103</v>
      </c>
      <c r="K31" s="35" t="s">
        <v>103</v>
      </c>
      <c r="L31" s="35" t="s">
        <v>103</v>
      </c>
      <c r="M31" s="35" t="s">
        <v>103</v>
      </c>
      <c r="N31" s="35" t="s">
        <v>103</v>
      </c>
      <c r="O31" s="35" t="s">
        <v>103</v>
      </c>
      <c r="P31" s="35" t="s">
        <v>103</v>
      </c>
      <c r="Q31" s="35" t="s">
        <v>103</v>
      </c>
      <c r="R31" s="35" t="s">
        <v>103</v>
      </c>
      <c r="S31" s="5"/>
    </row>
    <row r="32" spans="1:19" ht="40.950000000000003" customHeight="1">
      <c r="A32" s="5"/>
      <c r="B32" s="123">
        <v>3</v>
      </c>
      <c r="C32" s="123">
        <v>3</v>
      </c>
      <c r="D32" s="93" t="s">
        <v>104</v>
      </c>
      <c r="E32" s="93" t="s">
        <v>104</v>
      </c>
      <c r="F32" s="93" t="s">
        <v>104</v>
      </c>
      <c r="G32" s="93" t="s">
        <v>104</v>
      </c>
      <c r="H32" s="93" t="s">
        <v>104</v>
      </c>
      <c r="I32" s="93" t="s">
        <v>104</v>
      </c>
      <c r="J32" s="35" t="s">
        <v>105</v>
      </c>
      <c r="K32" s="35" t="s">
        <v>105</v>
      </c>
      <c r="L32" s="35" t="s">
        <v>105</v>
      </c>
      <c r="M32" s="35" t="s">
        <v>105</v>
      </c>
      <c r="N32" s="35" t="s">
        <v>105</v>
      </c>
      <c r="O32" s="35" t="s">
        <v>105</v>
      </c>
      <c r="P32" s="35" t="s">
        <v>105</v>
      </c>
      <c r="Q32" s="35" t="s">
        <v>105</v>
      </c>
      <c r="R32" s="35" t="s">
        <v>105</v>
      </c>
      <c r="S32" s="5"/>
    </row>
    <row r="33" spans="1:19" ht="40.950000000000003" customHeight="1">
      <c r="A33" s="5"/>
      <c r="B33" s="123">
        <v>4</v>
      </c>
      <c r="C33" s="123">
        <v>4</v>
      </c>
      <c r="D33" s="93" t="s">
        <v>106</v>
      </c>
      <c r="E33" s="93" t="s">
        <v>106</v>
      </c>
      <c r="F33" s="93" t="s">
        <v>106</v>
      </c>
      <c r="G33" s="93" t="s">
        <v>106</v>
      </c>
      <c r="H33" s="93" t="s">
        <v>106</v>
      </c>
      <c r="I33" s="93" t="s">
        <v>106</v>
      </c>
      <c r="J33" s="35" t="s">
        <v>107</v>
      </c>
      <c r="K33" s="35" t="s">
        <v>107</v>
      </c>
      <c r="L33" s="35" t="s">
        <v>107</v>
      </c>
      <c r="M33" s="35" t="s">
        <v>107</v>
      </c>
      <c r="N33" s="35" t="s">
        <v>107</v>
      </c>
      <c r="O33" s="35" t="s">
        <v>107</v>
      </c>
      <c r="P33" s="35" t="s">
        <v>107</v>
      </c>
      <c r="Q33" s="35" t="s">
        <v>107</v>
      </c>
      <c r="R33" s="35" t="s">
        <v>107</v>
      </c>
      <c r="S33" s="5"/>
    </row>
    <row r="34" spans="1:19" ht="40.950000000000003" customHeight="1">
      <c r="A34" s="5"/>
      <c r="B34" s="123">
        <v>5</v>
      </c>
      <c r="C34" s="123">
        <v>5</v>
      </c>
      <c r="D34" s="93" t="s">
        <v>90</v>
      </c>
      <c r="E34" s="93" t="s">
        <v>90</v>
      </c>
      <c r="F34" s="93" t="s">
        <v>90</v>
      </c>
      <c r="G34" s="93" t="s">
        <v>90</v>
      </c>
      <c r="H34" s="93" t="s">
        <v>90</v>
      </c>
      <c r="I34" s="93" t="s">
        <v>90</v>
      </c>
      <c r="J34" s="35" t="s">
        <v>108</v>
      </c>
      <c r="K34" s="35" t="s">
        <v>108</v>
      </c>
      <c r="L34" s="35" t="s">
        <v>108</v>
      </c>
      <c r="M34" s="35" t="s">
        <v>108</v>
      </c>
      <c r="N34" s="35" t="s">
        <v>108</v>
      </c>
      <c r="O34" s="35" t="s">
        <v>108</v>
      </c>
      <c r="P34" s="35" t="s">
        <v>108</v>
      </c>
      <c r="Q34" s="35" t="s">
        <v>108</v>
      </c>
      <c r="R34" s="35" t="s">
        <v>108</v>
      </c>
      <c r="S34" s="5"/>
    </row>
    <row r="35" spans="1:19" ht="40.950000000000003" customHeight="1">
      <c r="A35" s="5"/>
      <c r="B35" s="123">
        <v>6</v>
      </c>
      <c r="C35" s="123">
        <v>6</v>
      </c>
      <c r="D35" s="93" t="s">
        <v>109</v>
      </c>
      <c r="E35" s="93" t="s">
        <v>109</v>
      </c>
      <c r="F35" s="93" t="s">
        <v>109</v>
      </c>
      <c r="G35" s="93" t="s">
        <v>109</v>
      </c>
      <c r="H35" s="93" t="s">
        <v>109</v>
      </c>
      <c r="I35" s="93" t="s">
        <v>109</v>
      </c>
      <c r="J35" s="35" t="s">
        <v>110</v>
      </c>
      <c r="K35" s="35" t="s">
        <v>110</v>
      </c>
      <c r="L35" s="35" t="s">
        <v>110</v>
      </c>
      <c r="M35" s="35" t="s">
        <v>110</v>
      </c>
      <c r="N35" s="35" t="s">
        <v>110</v>
      </c>
      <c r="O35" s="35" t="s">
        <v>110</v>
      </c>
      <c r="P35" s="35" t="s">
        <v>110</v>
      </c>
      <c r="Q35" s="35" t="s">
        <v>110</v>
      </c>
      <c r="R35" s="35" t="s">
        <v>110</v>
      </c>
      <c r="S35" s="5"/>
    </row>
    <row r="36" spans="1:19" ht="25.05" customHeight="1">
      <c r="A36" s="5"/>
      <c r="B36" s="5"/>
      <c r="C36" s="5"/>
      <c r="D36" s="5"/>
      <c r="E36" s="5"/>
      <c r="F36" s="5"/>
      <c r="G36" s="5"/>
      <c r="H36" s="5"/>
      <c r="I36" s="5"/>
      <c r="J36" s="5"/>
      <c r="K36" s="5"/>
      <c r="L36" s="5"/>
      <c r="M36" s="5"/>
      <c r="N36" s="5"/>
      <c r="O36" s="5"/>
      <c r="P36" s="5"/>
      <c r="Q36" s="5"/>
      <c r="R36" s="5"/>
      <c r="S36" s="5"/>
    </row>
    <row r="37" spans="1:19" ht="25.05" customHeight="1">
      <c r="A37" s="5"/>
      <c r="B37" s="5"/>
      <c r="C37" s="5"/>
      <c r="D37" s="5"/>
      <c r="E37" s="5"/>
      <c r="F37" s="5"/>
      <c r="G37" s="5"/>
      <c r="H37" s="5"/>
      <c r="I37" s="5"/>
      <c r="J37" s="5"/>
      <c r="K37" s="5"/>
      <c r="L37" s="5"/>
      <c r="M37" s="5"/>
      <c r="N37" s="5"/>
      <c r="O37" s="5"/>
      <c r="P37" s="5"/>
      <c r="Q37" s="5"/>
      <c r="R37" s="5"/>
      <c r="S37" s="5"/>
    </row>
    <row r="38" spans="1:19" ht="25.05" customHeight="1">
      <c r="A38" s="5"/>
      <c r="B38" s="124" t="s">
        <v>111</v>
      </c>
      <c r="C38" s="124" t="s">
        <v>111</v>
      </c>
      <c r="D38" s="124" t="s">
        <v>111</v>
      </c>
      <c r="E38" s="124" t="s">
        <v>111</v>
      </c>
      <c r="F38" s="124" t="s">
        <v>111</v>
      </c>
      <c r="G38" s="124" t="s">
        <v>111</v>
      </c>
      <c r="H38" s="124" t="s">
        <v>111</v>
      </c>
      <c r="I38" s="124" t="s">
        <v>111</v>
      </c>
      <c r="J38" s="124" t="s">
        <v>111</v>
      </c>
      <c r="K38" s="124" t="s">
        <v>111</v>
      </c>
      <c r="L38" s="124" t="s">
        <v>111</v>
      </c>
      <c r="M38" s="124" t="s">
        <v>111</v>
      </c>
      <c r="N38" s="124" t="s">
        <v>111</v>
      </c>
      <c r="O38" s="124" t="s">
        <v>111</v>
      </c>
      <c r="P38" s="124" t="s">
        <v>111</v>
      </c>
      <c r="Q38" s="124" t="s">
        <v>111</v>
      </c>
      <c r="R38" s="124" t="s">
        <v>111</v>
      </c>
      <c r="S38" s="5"/>
    </row>
    <row r="39" spans="1:19" ht="25.05" customHeight="1">
      <c r="A39" s="5"/>
      <c r="B39" s="124" t="s">
        <v>111</v>
      </c>
      <c r="C39" s="124" t="s">
        <v>111</v>
      </c>
      <c r="D39" s="124" t="s">
        <v>111</v>
      </c>
      <c r="E39" s="124" t="s">
        <v>111</v>
      </c>
      <c r="F39" s="124" t="s">
        <v>111</v>
      </c>
      <c r="G39" s="124" t="s">
        <v>111</v>
      </c>
      <c r="H39" s="124" t="s">
        <v>111</v>
      </c>
      <c r="I39" s="124" t="s">
        <v>111</v>
      </c>
      <c r="J39" s="124" t="s">
        <v>111</v>
      </c>
      <c r="K39" s="124" t="s">
        <v>111</v>
      </c>
      <c r="L39" s="124" t="s">
        <v>111</v>
      </c>
      <c r="M39" s="124" t="s">
        <v>111</v>
      </c>
      <c r="N39" s="124" t="s">
        <v>111</v>
      </c>
      <c r="O39" s="124" t="s">
        <v>111</v>
      </c>
      <c r="P39" s="124" t="s">
        <v>111</v>
      </c>
      <c r="Q39" s="124" t="s">
        <v>111</v>
      </c>
      <c r="R39" s="124" t="s">
        <v>111</v>
      </c>
      <c r="S39" s="5"/>
    </row>
    <row r="40" spans="1:19" ht="25.05" customHeight="1">
      <c r="A40" s="5"/>
      <c r="B40" s="5"/>
      <c r="C40" s="5"/>
      <c r="D40" s="5"/>
      <c r="E40" s="5"/>
      <c r="F40" s="5"/>
      <c r="G40" s="5"/>
      <c r="H40" s="5"/>
      <c r="I40" s="5"/>
      <c r="J40" s="5"/>
      <c r="K40" s="5"/>
      <c r="L40" s="5"/>
      <c r="M40" s="5"/>
      <c r="N40" s="5"/>
      <c r="O40" s="5"/>
      <c r="P40" s="5"/>
      <c r="Q40" s="5"/>
      <c r="R40" s="5"/>
      <c r="S40" s="5"/>
    </row>
    <row r="41" spans="1:19" ht="25.05" customHeight="1">
      <c r="A41" s="5"/>
      <c r="B41" s="5"/>
      <c r="C41" s="5"/>
      <c r="D41" s="5"/>
      <c r="E41" s="5"/>
      <c r="F41" s="5"/>
      <c r="G41" s="5"/>
      <c r="H41" s="5"/>
      <c r="I41" s="5"/>
      <c r="J41" s="5"/>
      <c r="K41" s="5"/>
      <c r="L41" s="5"/>
      <c r="M41" s="5"/>
      <c r="N41" s="5"/>
      <c r="O41" s="5"/>
      <c r="P41" s="5"/>
      <c r="Q41" s="5"/>
      <c r="R41" s="5"/>
      <c r="S41" s="5"/>
    </row>
  </sheetData>
  <mergeCells count="77">
    <mergeCell ref="B35:C35"/>
    <mergeCell ref="D35:I35"/>
    <mergeCell ref="J35:R35"/>
    <mergeCell ref="B38:R39"/>
    <mergeCell ref="B33:C33"/>
    <mergeCell ref="D33:I33"/>
    <mergeCell ref="J33:R33"/>
    <mergeCell ref="B34:C34"/>
    <mergeCell ref="D34:I34"/>
    <mergeCell ref="J34:R34"/>
    <mergeCell ref="B31:C31"/>
    <mergeCell ref="D31:I31"/>
    <mergeCell ref="J31:R31"/>
    <mergeCell ref="B32:C32"/>
    <mergeCell ref="D32:I32"/>
    <mergeCell ref="J32:R32"/>
    <mergeCell ref="B28:R28"/>
    <mergeCell ref="B29:C29"/>
    <mergeCell ref="D29:I29"/>
    <mergeCell ref="J29:R29"/>
    <mergeCell ref="B30:C30"/>
    <mergeCell ref="D30:I30"/>
    <mergeCell ref="J30:R30"/>
    <mergeCell ref="B24:D24"/>
    <mergeCell ref="E24:G24"/>
    <mergeCell ref="H24:N24"/>
    <mergeCell ref="O24:R24"/>
    <mergeCell ref="B25:D25"/>
    <mergeCell ref="E25:G25"/>
    <mergeCell ref="H25:N25"/>
    <mergeCell ref="O25:R25"/>
    <mergeCell ref="B22:D22"/>
    <mergeCell ref="E22:G22"/>
    <mergeCell ref="H22:N22"/>
    <mergeCell ref="O22:R22"/>
    <mergeCell ref="B23:D23"/>
    <mergeCell ref="E23:G23"/>
    <mergeCell ref="H23:N23"/>
    <mergeCell ref="O23:R23"/>
    <mergeCell ref="B20:D20"/>
    <mergeCell ref="E20:G20"/>
    <mergeCell ref="H20:N20"/>
    <mergeCell ref="O20:R20"/>
    <mergeCell ref="B21:D21"/>
    <mergeCell ref="E21:G21"/>
    <mergeCell ref="H21:N21"/>
    <mergeCell ref="O21:R21"/>
    <mergeCell ref="B18:R18"/>
    <mergeCell ref="B19:D19"/>
    <mergeCell ref="E19:G19"/>
    <mergeCell ref="H19:N19"/>
    <mergeCell ref="O19:R19"/>
    <mergeCell ref="B12:I12"/>
    <mergeCell ref="B13:I16"/>
    <mergeCell ref="K12:R12"/>
    <mergeCell ref="K13:M13"/>
    <mergeCell ref="N13:R13"/>
    <mergeCell ref="K14:M14"/>
    <mergeCell ref="N14:R14"/>
    <mergeCell ref="K15:M15"/>
    <mergeCell ref="N15:R15"/>
    <mergeCell ref="K16:M16"/>
    <mergeCell ref="N16:R16"/>
    <mergeCell ref="B2:R3"/>
    <mergeCell ref="B4:R4"/>
    <mergeCell ref="B6:E6"/>
    <mergeCell ref="B7:E8"/>
    <mergeCell ref="B9:E10"/>
    <mergeCell ref="G6:J6"/>
    <mergeCell ref="G7:J8"/>
    <mergeCell ref="G9:J10"/>
    <mergeCell ref="L6:N6"/>
    <mergeCell ref="L7:N8"/>
    <mergeCell ref="L9:N10"/>
    <mergeCell ref="P6:R6"/>
    <mergeCell ref="P7:R8"/>
    <mergeCell ref="P9:R10"/>
  </mergeCells>
  <conditionalFormatting sqref="B8:B9">
    <cfRule type="expression" dxfId="223" priority="15">
      <formula>B8="PASS"</formula>
    </cfRule>
    <cfRule type="expression" dxfId="222" priority="13">
      <formula>B8="XONG"</formula>
    </cfRule>
    <cfRule type="expression" dxfId="221" priority="14">
      <formula>B8="ĐÃ PASS"</formula>
    </cfRule>
    <cfRule type="expression" dxfId="220" priority="22">
      <formula>B8="MỞ"</formula>
    </cfRule>
    <cfRule type="expression" dxfId="219" priority="16">
      <formula>B8="ĐÃ GIẢI QUYẾT"</formula>
    </cfRule>
    <cfRule type="expression" dxfId="218" priority="17">
      <formula>B8="ĐANG LÀM"</formula>
    </cfRule>
    <cfRule type="expression" dxfId="217" priority="18">
      <formula>B8="TÌM THẤY / CHỜ CHẠY LẠI"</formula>
    </cfRule>
    <cfRule type="expression" dxfId="216" priority="19">
      <formula>B8="TÌM THẤY"</formula>
    </cfRule>
    <cfRule type="expression" dxfId="215" priority="20">
      <formula>B8="CHỜ"</formula>
    </cfRule>
    <cfRule type="expression" dxfId="214" priority="21">
      <formula>B8="CHỜ CHẠY"</formula>
    </cfRule>
    <cfRule type="expression" dxfId="213" priority="23">
      <formula>B8="BỊ CHẶN"</formula>
    </cfRule>
    <cfRule type="expression" dxfId="212" priority="24">
      <formula>B8="CHƯA PASS"</formula>
    </cfRule>
    <cfRule type="expression" dxfId="211" priority="25">
      <formula>B8="TẠM HOÃN"</formula>
    </cfRule>
  </conditionalFormatting>
  <conditionalFormatting sqref="B9">
    <cfRule type="expression" dxfId="210" priority="2">
      <formula>B9="CHƯA PASS"</formula>
    </cfRule>
    <cfRule type="expression" dxfId="209" priority="1">
      <formula>B9="ĐÃ PASS"</formula>
    </cfRule>
  </conditionalFormatting>
  <conditionalFormatting sqref="B10">
    <cfRule type="dataBar" priority="12">
      <dataBar>
        <cfvo type="min"/>
        <cfvo type="max"/>
        <color rgb="FF2563EB"/>
      </dataBar>
    </cfRule>
    <cfRule type="dataBar" priority="69">
      <dataBar>
        <cfvo type="min"/>
        <cfvo type="max"/>
        <color rgb="FF2563EB"/>
      </dataBar>
      <extLst>
        <ext xmlns:x14="http://schemas.microsoft.com/office/spreadsheetml/2009/9/main" uri="{B025F937-C7B1-47D3-B67F-A62EFF666E3E}">
          <x14:id>{5DBFFF1D-0DD0-66AB-2D63-5CA491A57B50}</x14:id>
        </ext>
      </extLst>
    </cfRule>
  </conditionalFormatting>
  <conditionalFormatting sqref="B12">
    <cfRule type="expression" dxfId="208" priority="4">
      <formula>B12="ĐỦ ĐIỀU KIỆN LẬP PHASE 2"</formula>
    </cfRule>
    <cfRule type="expression" dxfId="207" priority="5">
      <formula>B12="CHƯA ĐƯỢC BẮT ĐẦU CHÍNH THỨC"</formula>
    </cfRule>
  </conditionalFormatting>
  <conditionalFormatting sqref="E6:E11">
    <cfRule type="expression" dxfId="206" priority="26">
      <formula>E6="XONG"</formula>
    </cfRule>
    <cfRule type="expression" dxfId="205" priority="27">
      <formula>E6="ĐÃ PASS"</formula>
    </cfRule>
    <cfRule type="expression" dxfId="204" priority="28">
      <formula>E6="PASS"</formula>
    </cfRule>
    <cfRule type="expression" dxfId="203" priority="29">
      <formula>E6="ĐÃ GIẢI QUYẾT"</formula>
    </cfRule>
    <cfRule type="expression" dxfId="202" priority="30">
      <formula>E6="ĐANG LÀM"</formula>
    </cfRule>
    <cfRule type="expression" dxfId="201" priority="31">
      <formula>E6="TÌM THẤY / CHỜ CHẠY LẠI"</formula>
    </cfRule>
    <cfRule type="expression" dxfId="200" priority="32">
      <formula>E6="TÌM THẤY"</formula>
    </cfRule>
    <cfRule type="expression" dxfId="199" priority="33">
      <formula>E6="CHỜ"</formula>
    </cfRule>
    <cfRule type="expression" dxfId="198" priority="34">
      <formula>E6="CHỜ CHẠY"</formula>
    </cfRule>
    <cfRule type="expression" dxfId="197" priority="35">
      <formula>E6="MỞ"</formula>
    </cfRule>
    <cfRule type="expression" dxfId="196" priority="36">
      <formula>E6="BỊ CHẶN"</formula>
    </cfRule>
    <cfRule type="expression" dxfId="195" priority="37">
      <formula>E6="CHƯA PASS"</formula>
    </cfRule>
    <cfRule type="expression" dxfId="194" priority="38">
      <formula>E6="TẠM HOÃN"</formula>
    </cfRule>
  </conditionalFormatting>
  <conditionalFormatting sqref="E20:G25">
    <cfRule type="cellIs" dxfId="193" priority="54" operator="equal">
      <formula>"XONG"</formula>
    </cfRule>
    <cfRule type="cellIs" dxfId="192" priority="55" operator="equal">
      <formula>"PASS"</formula>
    </cfRule>
    <cfRule type="cellIs" dxfId="191" priority="56" operator="equal">
      <formula>"ĐÃ PASS"</formula>
    </cfRule>
    <cfRule type="cellIs" dxfId="190" priority="57" operator="equal">
      <formula>"ĐÃ GIẢI QUYẾT"</formula>
    </cfRule>
    <cfRule type="cellIs" dxfId="189" priority="58" operator="equal">
      <formula>"ĐANG LÀM"</formula>
    </cfRule>
    <cfRule type="cellIs" dxfId="188" priority="59" operator="equal">
      <formula>"BỊ CHẶN"</formula>
    </cfRule>
    <cfRule type="cellIs" dxfId="187" priority="60" operator="equal">
      <formula>"FAIL"</formula>
    </cfRule>
    <cfRule type="cellIs" dxfId="186" priority="61" operator="equal">
      <formula>"CHỜ"</formula>
    </cfRule>
    <cfRule type="cellIs" dxfId="185" priority="63" operator="equal">
      <formula>"CHỜ CHẠY"</formula>
    </cfRule>
    <cfRule type="cellIs" dxfId="184" priority="64" operator="equal">
      <formula>"MỞ"</formula>
    </cfRule>
    <cfRule type="cellIs" dxfId="183" priority="65" operator="equal">
      <formula>"TÌM THẤY / CHỜ CHẠY LẠI"</formula>
    </cfRule>
    <cfRule type="cellIs" dxfId="182" priority="66" operator="equal">
      <formula>"PASS LỊCH SỬ"</formula>
    </cfRule>
    <cfRule type="cellIs" dxfId="181" priority="67" operator="equal">
      <formula>"TẠM HOÃN"</formula>
    </cfRule>
    <cfRule type="cellIs" dxfId="180" priority="68" operator="equal">
      <formula>"CHƯA LÀM"</formula>
    </cfRule>
    <cfRule type="cellIs" dxfId="179" priority="62" operator="equal">
      <formula>"CHƯA PASS"</formula>
    </cfRule>
  </conditionalFormatting>
  <conditionalFormatting sqref="N13:R14">
    <cfRule type="cellIs" dxfId="178" priority="41" operator="equal">
      <formula>"ĐÃ PASS"</formula>
    </cfRule>
    <cfRule type="cellIs" dxfId="177" priority="42" operator="equal">
      <formula>"ĐÃ GIẢI QUYẾT"</formula>
    </cfRule>
    <cfRule type="cellIs" dxfId="176" priority="43" operator="equal">
      <formula>"ĐANG LÀM"</formula>
    </cfRule>
    <cfRule type="cellIs" dxfId="175" priority="44" operator="equal">
      <formula>"BỊ CHẶN"</formula>
    </cfRule>
    <cfRule type="cellIs" dxfId="174" priority="45" operator="equal">
      <formula>"FAIL"</formula>
    </cfRule>
    <cfRule type="cellIs" dxfId="173" priority="46" operator="equal">
      <formula>"CHỜ"</formula>
    </cfRule>
    <cfRule type="cellIs" dxfId="172" priority="47" operator="equal">
      <formula>"CHƯA PASS"</formula>
    </cfRule>
    <cfRule type="cellIs" dxfId="171" priority="39" operator="equal">
      <formula>"XONG"</formula>
    </cfRule>
    <cfRule type="cellIs" dxfId="170" priority="48" operator="equal">
      <formula>"CHỜ CHẠY"</formula>
    </cfRule>
    <cfRule type="cellIs" dxfId="169" priority="49" operator="equal">
      <formula>"MỞ"</formula>
    </cfRule>
    <cfRule type="cellIs" dxfId="168" priority="50" operator="equal">
      <formula>"TÌM THẤY / CHỜ CHẠY LẠI"</formula>
    </cfRule>
    <cfRule type="cellIs" dxfId="167" priority="51" operator="equal">
      <formula>"PASS LỊCH SỬ"</formula>
    </cfRule>
    <cfRule type="cellIs" dxfId="166" priority="52" operator="equal">
      <formula>"TẠM HOÃN"</formula>
    </cfRule>
    <cfRule type="cellIs" dxfId="165" priority="53" operator="equal">
      <formula>"CHƯA LÀM"</formula>
    </cfRule>
    <cfRule type="cellIs" dxfId="164" priority="40" operator="equal">
      <formula>"PASS"</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5DBFFF1D-0DD0-66AB-2D63-5CA491A57B50}">
            <x14:dataBar>
              <x14:cfvo type="min"/>
              <x14:cfvo type="max"/>
              <x14:negativeFillColor auto="1"/>
              <x14:axisColor auto="1"/>
            </x14:dataBar>
          </x14:cfRule>
          <xm:sqref>B10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2805C"/>
  </sheetPr>
  <dimension ref="A1:D89"/>
  <sheetViews>
    <sheetView showGridLines="0" workbookViewId="0">
      <pane ySplit="3" topLeftCell="A4" activePane="bottomLeft" state="frozen"/>
      <selection pane="bottomLeft"/>
    </sheetView>
  </sheetViews>
  <sheetFormatPr defaultRowHeight="13.8"/>
  <cols>
    <col min="1" max="1" width="30" customWidth="1"/>
    <col min="2" max="2" width="43.69921875" customWidth="1"/>
    <col min="3" max="3" width="65" customWidth="1"/>
    <col min="4" max="4" width="2.5" customWidth="1"/>
  </cols>
  <sheetData>
    <row r="1" spans="1:4" ht="46.05" customHeight="1">
      <c r="A1" s="126" t="s">
        <v>112</v>
      </c>
      <c r="B1" s="126"/>
      <c r="C1" s="126"/>
      <c r="D1" s="2"/>
    </row>
    <row r="2" spans="1:4" ht="40.049999999999997" customHeight="1">
      <c r="A2" s="38" t="s">
        <v>113</v>
      </c>
      <c r="B2" s="38"/>
      <c r="C2" s="38"/>
      <c r="D2" s="3"/>
    </row>
    <row r="3" spans="1:4" ht="12" customHeight="1">
      <c r="A3" s="4"/>
      <c r="B3" s="4"/>
      <c r="C3" s="4"/>
      <c r="D3" s="4"/>
    </row>
    <row r="4" spans="1:4" ht="31.95" customHeight="1">
      <c r="A4" s="127" t="s">
        <v>114</v>
      </c>
      <c r="B4" s="127"/>
      <c r="C4" s="127"/>
      <c r="D4" s="1"/>
    </row>
    <row r="5" spans="1:4" ht="46.95" customHeight="1">
      <c r="A5" s="9" t="s">
        <v>115</v>
      </c>
      <c r="B5" s="7" t="s">
        <v>116</v>
      </c>
      <c r="C5" s="7" t="s">
        <v>117</v>
      </c>
      <c r="D5" s="1"/>
    </row>
    <row r="6" spans="1:4" ht="46.95" customHeight="1">
      <c r="A6" s="10" t="s">
        <v>118</v>
      </c>
      <c r="B6" s="8" t="s">
        <v>119</v>
      </c>
      <c r="C6" s="8" t="s">
        <v>120</v>
      </c>
      <c r="D6" s="1"/>
    </row>
    <row r="7" spans="1:4" ht="46.95" customHeight="1">
      <c r="A7" s="9" t="s">
        <v>121</v>
      </c>
      <c r="B7" s="7" t="s">
        <v>122</v>
      </c>
      <c r="C7" s="7" t="s">
        <v>123</v>
      </c>
      <c r="D7" s="1"/>
    </row>
    <row r="8" spans="1:4" ht="46.95" customHeight="1">
      <c r="A8" s="10" t="s">
        <v>124</v>
      </c>
      <c r="B8" s="8" t="s">
        <v>125</v>
      </c>
      <c r="C8" s="8" t="s">
        <v>126</v>
      </c>
      <c r="D8" s="1"/>
    </row>
    <row r="9" spans="1:4" ht="30" customHeight="1">
      <c r="A9" s="1"/>
      <c r="B9" s="1"/>
      <c r="C9" s="1"/>
      <c r="D9" s="1"/>
    </row>
    <row r="10" spans="1:4" ht="31.95" customHeight="1">
      <c r="A10" s="127" t="s">
        <v>127</v>
      </c>
      <c r="B10" s="127"/>
      <c r="C10" s="127"/>
      <c r="D10" s="1"/>
    </row>
    <row r="11" spans="1:4" ht="37.049999999999997" customHeight="1">
      <c r="A11" s="125" t="s">
        <v>128</v>
      </c>
      <c r="B11" s="125"/>
      <c r="C11" s="125"/>
      <c r="D11" s="125"/>
    </row>
    <row r="12" spans="1:4" ht="37.049999999999997" customHeight="1">
      <c r="A12" s="125"/>
      <c r="B12" s="125"/>
      <c r="C12" s="125"/>
      <c r="D12" s="125"/>
    </row>
    <row r="13" spans="1:4" ht="37.049999999999997" customHeight="1">
      <c r="A13" s="125"/>
      <c r="B13" s="125"/>
      <c r="C13" s="125"/>
      <c r="D13" s="125"/>
    </row>
    <row r="14" spans="1:4" ht="30" customHeight="1">
      <c r="A14" s="1"/>
      <c r="B14" s="1"/>
      <c r="C14" s="1"/>
      <c r="D14" s="1"/>
    </row>
    <row r="15" spans="1:4" ht="31.95" customHeight="1">
      <c r="A15" s="127" t="s">
        <v>129</v>
      </c>
      <c r="B15" s="127"/>
      <c r="C15" s="127"/>
      <c r="D15" s="1"/>
    </row>
    <row r="16" spans="1:4" ht="34.049999999999997" customHeight="1">
      <c r="A16" s="6" t="s">
        <v>130</v>
      </c>
      <c r="B16" s="6" t="s">
        <v>131</v>
      </c>
      <c r="C16" s="6" t="s">
        <v>132</v>
      </c>
      <c r="D16" s="1"/>
    </row>
    <row r="17" spans="1:4" ht="46.95" customHeight="1">
      <c r="A17" s="9">
        <v>1</v>
      </c>
      <c r="B17" s="7" t="s">
        <v>133</v>
      </c>
      <c r="C17" s="7" t="s">
        <v>134</v>
      </c>
      <c r="D17" s="1"/>
    </row>
    <row r="18" spans="1:4" ht="46.95" customHeight="1">
      <c r="A18" s="10">
        <v>2</v>
      </c>
      <c r="B18" s="8" t="s">
        <v>135</v>
      </c>
      <c r="C18" s="8" t="s">
        <v>136</v>
      </c>
      <c r="D18" s="1"/>
    </row>
    <row r="19" spans="1:4" ht="46.95" customHeight="1">
      <c r="A19" s="9">
        <v>3</v>
      </c>
      <c r="B19" s="7" t="s">
        <v>137</v>
      </c>
      <c r="C19" s="7" t="s">
        <v>138</v>
      </c>
      <c r="D19" s="1"/>
    </row>
    <row r="20" spans="1:4" ht="46.95" customHeight="1">
      <c r="A20" s="10">
        <v>4</v>
      </c>
      <c r="B20" s="8" t="s">
        <v>139</v>
      </c>
      <c r="C20" s="8" t="s">
        <v>140</v>
      </c>
      <c r="D20" s="1"/>
    </row>
    <row r="21" spans="1:4" ht="46.95" customHeight="1">
      <c r="A21" s="9">
        <v>5</v>
      </c>
      <c r="B21" s="7" t="s">
        <v>141</v>
      </c>
      <c r="C21" s="7" t="s">
        <v>142</v>
      </c>
      <c r="D21" s="1"/>
    </row>
    <row r="22" spans="1:4" ht="46.95" customHeight="1">
      <c r="A22" s="10">
        <v>6</v>
      </c>
      <c r="B22" s="8" t="s">
        <v>143</v>
      </c>
      <c r="C22" s="8" t="s">
        <v>144</v>
      </c>
      <c r="D22" s="1"/>
    </row>
    <row r="23" spans="1:4" ht="46.95" customHeight="1">
      <c r="A23" s="9">
        <v>7</v>
      </c>
      <c r="B23" s="7" t="s">
        <v>145</v>
      </c>
      <c r="C23" s="7" t="s">
        <v>146</v>
      </c>
      <c r="D23" s="1"/>
    </row>
    <row r="24" spans="1:4" ht="46.95" customHeight="1">
      <c r="A24" s="10">
        <v>8</v>
      </c>
      <c r="B24" s="8" t="s">
        <v>147</v>
      </c>
      <c r="C24" s="8" t="s">
        <v>148</v>
      </c>
      <c r="D24" s="1"/>
    </row>
    <row r="25" spans="1:4" ht="46.95" customHeight="1">
      <c r="A25" s="9">
        <v>9</v>
      </c>
      <c r="B25" s="7" t="s">
        <v>149</v>
      </c>
      <c r="C25" s="7" t="s">
        <v>150</v>
      </c>
      <c r="D25" s="1"/>
    </row>
    <row r="26" spans="1:4" ht="46.95" customHeight="1">
      <c r="A26" s="10">
        <v>10</v>
      </c>
      <c r="B26" s="8" t="s">
        <v>151</v>
      </c>
      <c r="C26" s="8" t="s">
        <v>152</v>
      </c>
      <c r="D26" s="1"/>
    </row>
    <row r="27" spans="1:4" ht="46.95" customHeight="1">
      <c r="A27" s="9">
        <v>11</v>
      </c>
      <c r="B27" s="7" t="s">
        <v>153</v>
      </c>
      <c r="C27" s="7" t="s">
        <v>154</v>
      </c>
      <c r="D27" s="1"/>
    </row>
    <row r="28" spans="1:4" ht="30" customHeight="1">
      <c r="A28" s="1"/>
      <c r="B28" s="1"/>
      <c r="C28" s="1"/>
      <c r="D28" s="1"/>
    </row>
    <row r="29" spans="1:4" ht="30" customHeight="1">
      <c r="A29" s="1"/>
      <c r="B29" s="1"/>
      <c r="C29" s="1"/>
      <c r="D29" s="1"/>
    </row>
    <row r="30" spans="1:4" ht="31.95" customHeight="1">
      <c r="A30" s="127" t="s">
        <v>155</v>
      </c>
      <c r="B30" s="127"/>
      <c r="C30" s="127"/>
      <c r="D30" s="1"/>
    </row>
    <row r="31" spans="1:4" ht="34.049999999999997" customHeight="1">
      <c r="A31" s="6" t="s">
        <v>156</v>
      </c>
      <c r="B31" s="117" t="s">
        <v>157</v>
      </c>
      <c r="C31" s="117"/>
      <c r="D31" s="1"/>
    </row>
    <row r="32" spans="1:4" ht="43.05" customHeight="1">
      <c r="A32" s="11" t="s">
        <v>158</v>
      </c>
      <c r="B32" s="128" t="s">
        <v>159</v>
      </c>
      <c r="C32" s="128"/>
      <c r="D32" s="1"/>
    </row>
    <row r="33" spans="1:4" ht="43.05" customHeight="1">
      <c r="A33" s="12" t="s">
        <v>160</v>
      </c>
      <c r="B33" s="129" t="s">
        <v>161</v>
      </c>
      <c r="C33" s="129"/>
      <c r="D33" s="1"/>
    </row>
    <row r="34" spans="1:4" ht="43.05" customHeight="1">
      <c r="A34" s="11" t="s">
        <v>162</v>
      </c>
      <c r="B34" s="128" t="s">
        <v>163</v>
      </c>
      <c r="C34" s="128"/>
      <c r="D34" s="1"/>
    </row>
    <row r="35" spans="1:4" ht="43.05" customHeight="1">
      <c r="A35" s="12" t="s">
        <v>147</v>
      </c>
      <c r="B35" s="129" t="s">
        <v>164</v>
      </c>
      <c r="C35" s="129"/>
      <c r="D35" s="1"/>
    </row>
    <row r="36" spans="1:4" ht="43.05" customHeight="1">
      <c r="A36" s="11" t="s">
        <v>165</v>
      </c>
      <c r="B36" s="128" t="s">
        <v>166</v>
      </c>
      <c r="C36" s="128"/>
      <c r="D36" s="1"/>
    </row>
    <row r="37" spans="1:4" ht="43.05" customHeight="1">
      <c r="A37" s="12" t="s">
        <v>167</v>
      </c>
      <c r="B37" s="129" t="s">
        <v>168</v>
      </c>
      <c r="C37" s="129"/>
      <c r="D37" s="1"/>
    </row>
    <row r="38" spans="1:4" ht="43.05" customHeight="1">
      <c r="A38" s="11" t="s">
        <v>169</v>
      </c>
      <c r="B38" s="128" t="s">
        <v>170</v>
      </c>
      <c r="C38" s="128"/>
      <c r="D38" s="1"/>
    </row>
    <row r="39" spans="1:4" ht="43.05" customHeight="1">
      <c r="A39" s="12" t="s">
        <v>171</v>
      </c>
      <c r="B39" s="129" t="s">
        <v>172</v>
      </c>
      <c r="C39" s="129"/>
      <c r="D39" s="1"/>
    </row>
    <row r="40" spans="1:4" ht="43.05" customHeight="1">
      <c r="A40" s="11" t="s">
        <v>173</v>
      </c>
      <c r="B40" s="128" t="s">
        <v>174</v>
      </c>
      <c r="C40" s="128"/>
      <c r="D40" s="1"/>
    </row>
    <row r="41" spans="1:4" ht="43.05" customHeight="1">
      <c r="A41" s="12" t="s">
        <v>175</v>
      </c>
      <c r="B41" s="129" t="s">
        <v>176</v>
      </c>
      <c r="C41" s="129"/>
      <c r="D41" s="1"/>
    </row>
    <row r="42" spans="1:4" ht="43.05" customHeight="1">
      <c r="A42" s="11" t="s">
        <v>177</v>
      </c>
      <c r="B42" s="128" t="s">
        <v>178</v>
      </c>
      <c r="C42" s="128"/>
      <c r="D42" s="1"/>
    </row>
    <row r="43" spans="1:4" ht="30" customHeight="1">
      <c r="A43" s="1"/>
      <c r="B43" s="1"/>
      <c r="C43" s="1"/>
      <c r="D43" s="1"/>
    </row>
    <row r="44" spans="1:4" ht="30" customHeight="1">
      <c r="A44" s="1"/>
      <c r="B44" s="1"/>
      <c r="C44" s="1"/>
      <c r="D44" s="1"/>
    </row>
    <row r="45" spans="1:4" ht="31.95" customHeight="1">
      <c r="A45" s="127" t="s">
        <v>179</v>
      </c>
      <c r="B45" s="127"/>
      <c r="C45" s="127"/>
      <c r="D45" s="1"/>
    </row>
    <row r="46" spans="1:4" ht="34.049999999999997" customHeight="1">
      <c r="A46" s="6" t="s">
        <v>156</v>
      </c>
      <c r="B46" s="117" t="s">
        <v>180</v>
      </c>
      <c r="C46" s="117"/>
      <c r="D46" s="1"/>
    </row>
    <row r="47" spans="1:4" ht="43.05" customHeight="1">
      <c r="A47" s="12" t="s">
        <v>51</v>
      </c>
      <c r="B47" s="129" t="s">
        <v>181</v>
      </c>
      <c r="C47" s="129"/>
      <c r="D47" s="1"/>
    </row>
    <row r="48" spans="1:4" ht="43.05" customHeight="1">
      <c r="A48" s="11" t="s">
        <v>182</v>
      </c>
      <c r="B48" s="128" t="s">
        <v>183</v>
      </c>
      <c r="C48" s="128"/>
      <c r="D48" s="1"/>
    </row>
    <row r="49" spans="1:4" ht="43.05" customHeight="1">
      <c r="A49" s="12" t="s">
        <v>184</v>
      </c>
      <c r="B49" s="129" t="s">
        <v>185</v>
      </c>
      <c r="C49" s="129"/>
      <c r="D49" s="1"/>
    </row>
    <row r="50" spans="1:4" ht="43.05" customHeight="1">
      <c r="A50" s="11" t="s">
        <v>186</v>
      </c>
      <c r="B50" s="128" t="s">
        <v>187</v>
      </c>
      <c r="C50" s="128"/>
      <c r="D50" s="1"/>
    </row>
    <row r="51" spans="1:4" ht="43.05" customHeight="1">
      <c r="A51" s="12" t="s">
        <v>171</v>
      </c>
      <c r="B51" s="129" t="s">
        <v>188</v>
      </c>
      <c r="C51" s="129"/>
      <c r="D51" s="1"/>
    </row>
    <row r="52" spans="1:4" ht="43.05" customHeight="1">
      <c r="A52" s="11" t="s">
        <v>189</v>
      </c>
      <c r="B52" s="128" t="s">
        <v>190</v>
      </c>
      <c r="C52" s="128"/>
      <c r="D52" s="1"/>
    </row>
    <row r="53" spans="1:4" ht="43.05" customHeight="1">
      <c r="A53" s="12" t="s">
        <v>191</v>
      </c>
      <c r="B53" s="129" t="s">
        <v>192</v>
      </c>
      <c r="C53" s="129"/>
      <c r="D53" s="1"/>
    </row>
    <row r="54" spans="1:4" ht="43.05" customHeight="1">
      <c r="A54" s="11" t="s">
        <v>173</v>
      </c>
      <c r="B54" s="128" t="s">
        <v>193</v>
      </c>
      <c r="C54" s="128"/>
      <c r="D54" s="1"/>
    </row>
    <row r="55" spans="1:4" ht="43.05" customHeight="1">
      <c r="A55" s="12" t="s">
        <v>175</v>
      </c>
      <c r="B55" s="129" t="s">
        <v>194</v>
      </c>
      <c r="C55" s="129"/>
      <c r="D55" s="1"/>
    </row>
    <row r="56" spans="1:4" ht="43.05" customHeight="1">
      <c r="A56" s="11" t="s">
        <v>195</v>
      </c>
      <c r="B56" s="128" t="s">
        <v>196</v>
      </c>
      <c r="C56" s="128"/>
      <c r="D56" s="1"/>
    </row>
    <row r="57" spans="1:4" ht="43.05" customHeight="1">
      <c r="A57" s="12" t="s">
        <v>197</v>
      </c>
      <c r="B57" s="129" t="s">
        <v>198</v>
      </c>
      <c r="C57" s="129"/>
      <c r="D57" s="1"/>
    </row>
    <row r="58" spans="1:4" ht="43.05" customHeight="1">
      <c r="A58" s="11" t="s">
        <v>199</v>
      </c>
      <c r="B58" s="128" t="s">
        <v>200</v>
      </c>
      <c r="C58" s="128"/>
      <c r="D58" s="1"/>
    </row>
    <row r="59" spans="1:4" ht="43.05" customHeight="1">
      <c r="A59" s="12" t="s">
        <v>201</v>
      </c>
      <c r="B59" s="129" t="s">
        <v>202</v>
      </c>
      <c r="C59" s="129"/>
      <c r="D59" s="1"/>
    </row>
    <row r="60" spans="1:4" ht="43.05" customHeight="1">
      <c r="A60" s="11" t="s">
        <v>203</v>
      </c>
      <c r="B60" s="128" t="s">
        <v>204</v>
      </c>
      <c r="C60" s="128"/>
      <c r="D60" s="1"/>
    </row>
    <row r="61" spans="1:4" ht="30" customHeight="1">
      <c r="A61" s="1"/>
      <c r="B61" s="1"/>
      <c r="C61" s="1"/>
      <c r="D61" s="1"/>
    </row>
    <row r="62" spans="1:4" ht="30" customHeight="1">
      <c r="A62" s="1"/>
      <c r="B62" s="1"/>
      <c r="C62" s="1"/>
      <c r="D62" s="1"/>
    </row>
    <row r="63" spans="1:4" ht="31.95" customHeight="1">
      <c r="A63" s="127" t="s">
        <v>205</v>
      </c>
      <c r="B63" s="127"/>
      <c r="C63" s="127"/>
      <c r="D63" s="1"/>
    </row>
    <row r="64" spans="1:4" ht="34.049999999999997" customHeight="1">
      <c r="A64" s="6" t="s">
        <v>156</v>
      </c>
      <c r="B64" s="117" t="s">
        <v>206</v>
      </c>
      <c r="C64" s="117"/>
      <c r="D64" s="1"/>
    </row>
    <row r="65" spans="1:4" ht="43.05" customHeight="1">
      <c r="A65" s="12" t="s">
        <v>207</v>
      </c>
      <c r="B65" s="129" t="s">
        <v>208</v>
      </c>
      <c r="C65" s="129"/>
      <c r="D65" s="1"/>
    </row>
    <row r="66" spans="1:4" ht="43.05" customHeight="1">
      <c r="A66" s="11" t="s">
        <v>209</v>
      </c>
      <c r="B66" s="128" t="s">
        <v>210</v>
      </c>
      <c r="C66" s="128"/>
      <c r="D66" s="1"/>
    </row>
    <row r="67" spans="1:4" ht="43.05" customHeight="1">
      <c r="A67" s="12" t="s">
        <v>211</v>
      </c>
      <c r="B67" s="129" t="s">
        <v>212</v>
      </c>
      <c r="C67" s="129"/>
      <c r="D67" s="1"/>
    </row>
    <row r="68" spans="1:4" ht="43.05" customHeight="1">
      <c r="A68" s="11" t="s">
        <v>213</v>
      </c>
      <c r="B68" s="128" t="s">
        <v>214</v>
      </c>
      <c r="C68" s="128"/>
      <c r="D68" s="1"/>
    </row>
    <row r="69" spans="1:4" ht="43.05" customHeight="1">
      <c r="A69" s="12" t="s">
        <v>215</v>
      </c>
      <c r="B69" s="129" t="s">
        <v>216</v>
      </c>
      <c r="C69" s="129"/>
      <c r="D69" s="1"/>
    </row>
    <row r="70" spans="1:4" ht="43.05" customHeight="1">
      <c r="A70" s="11" t="s">
        <v>217</v>
      </c>
      <c r="B70" s="128" t="s">
        <v>218</v>
      </c>
      <c r="C70" s="128"/>
      <c r="D70" s="1"/>
    </row>
    <row r="71" spans="1:4" ht="43.05" customHeight="1">
      <c r="A71" s="12" t="s">
        <v>219</v>
      </c>
      <c r="B71" s="129" t="s">
        <v>220</v>
      </c>
      <c r="C71" s="129"/>
      <c r="D71" s="1"/>
    </row>
    <row r="72" spans="1:4" ht="43.05" customHeight="1">
      <c r="A72" s="11" t="s">
        <v>221</v>
      </c>
      <c r="B72" s="128" t="s">
        <v>222</v>
      </c>
      <c r="C72" s="128"/>
      <c r="D72" s="1"/>
    </row>
    <row r="73" spans="1:4" ht="43.05" customHeight="1">
      <c r="A73" s="12" t="s">
        <v>223</v>
      </c>
      <c r="B73" s="129" t="s">
        <v>224</v>
      </c>
      <c r="C73" s="129"/>
      <c r="D73" s="1"/>
    </row>
    <row r="74" spans="1:4" ht="30" customHeight="1">
      <c r="A74" s="1"/>
      <c r="B74" s="1"/>
      <c r="C74" s="1"/>
      <c r="D74" s="1"/>
    </row>
    <row r="75" spans="1:4" ht="30" customHeight="1">
      <c r="A75" s="1"/>
      <c r="B75" s="1"/>
      <c r="C75" s="1"/>
      <c r="D75" s="1"/>
    </row>
    <row r="76" spans="1:4" ht="31.95" customHeight="1">
      <c r="A76" s="127" t="s">
        <v>225</v>
      </c>
      <c r="B76" s="127"/>
      <c r="C76" s="127"/>
      <c r="D76" s="1"/>
    </row>
    <row r="77" spans="1:4" ht="34.049999999999997" customHeight="1">
      <c r="A77" s="6" t="s">
        <v>226</v>
      </c>
      <c r="B77" s="117" t="s">
        <v>227</v>
      </c>
      <c r="C77" s="117"/>
      <c r="D77" s="1"/>
    </row>
    <row r="78" spans="1:4" ht="43.05" customHeight="1">
      <c r="A78" s="11" t="s">
        <v>228</v>
      </c>
      <c r="B78" s="128" t="s">
        <v>229</v>
      </c>
      <c r="C78" s="128"/>
      <c r="D78" s="1"/>
    </row>
    <row r="79" spans="1:4" ht="43.05" customHeight="1">
      <c r="A79" s="12" t="s">
        <v>230</v>
      </c>
      <c r="B79" s="129" t="s">
        <v>231</v>
      </c>
      <c r="C79" s="129"/>
      <c r="D79" s="1"/>
    </row>
    <row r="80" spans="1:4" ht="43.05" customHeight="1">
      <c r="A80" s="11" t="s">
        <v>232</v>
      </c>
      <c r="B80" s="128" t="s">
        <v>233</v>
      </c>
      <c r="C80" s="128"/>
      <c r="D80" s="1"/>
    </row>
    <row r="81" spans="1:4" ht="43.05" customHeight="1">
      <c r="A81" s="12" t="s">
        <v>234</v>
      </c>
      <c r="B81" s="129" t="s">
        <v>235</v>
      </c>
      <c r="C81" s="129"/>
      <c r="D81" s="1"/>
    </row>
    <row r="82" spans="1:4" ht="43.05" customHeight="1">
      <c r="A82" s="11" t="s">
        <v>236</v>
      </c>
      <c r="B82" s="128" t="s">
        <v>237</v>
      </c>
      <c r="C82" s="128"/>
      <c r="D82" s="1"/>
    </row>
    <row r="83" spans="1:4" ht="43.05" customHeight="1">
      <c r="A83" s="12" t="s">
        <v>238</v>
      </c>
      <c r="B83" s="129" t="s">
        <v>239</v>
      </c>
      <c r="C83" s="129"/>
      <c r="D83" s="1"/>
    </row>
    <row r="84" spans="1:4" ht="43.05" customHeight="1">
      <c r="A84" s="11" t="s">
        <v>240</v>
      </c>
      <c r="B84" s="128" t="s">
        <v>241</v>
      </c>
      <c r="C84" s="128"/>
      <c r="D84" s="1"/>
    </row>
    <row r="85" spans="1:4" ht="43.05" customHeight="1">
      <c r="A85" s="12" t="s">
        <v>242</v>
      </c>
      <c r="B85" s="129" t="s">
        <v>243</v>
      </c>
      <c r="C85" s="129"/>
      <c r="D85" s="1"/>
    </row>
    <row r="86" spans="1:4" ht="43.05" customHeight="1">
      <c r="A86" s="11" t="s">
        <v>244</v>
      </c>
      <c r="B86" s="128" t="s">
        <v>245</v>
      </c>
      <c r="C86" s="128"/>
      <c r="D86" s="1"/>
    </row>
    <row r="87" spans="1:4" ht="43.05" customHeight="1">
      <c r="A87" s="12" t="s">
        <v>246</v>
      </c>
      <c r="B87" s="129" t="s">
        <v>247</v>
      </c>
      <c r="C87" s="129"/>
      <c r="D87" s="1"/>
    </row>
    <row r="88" spans="1:4" ht="43.05" customHeight="1">
      <c r="A88" s="11" t="s">
        <v>248</v>
      </c>
      <c r="B88" s="128" t="s">
        <v>249</v>
      </c>
      <c r="C88" s="128"/>
      <c r="D88" s="1"/>
    </row>
    <row r="89" spans="1:4" ht="43.05" customHeight="1">
      <c r="A89" s="12" t="s">
        <v>250</v>
      </c>
      <c r="B89" s="129" t="s">
        <v>251</v>
      </c>
      <c r="C89" s="129"/>
      <c r="D89" s="1"/>
    </row>
  </sheetData>
  <mergeCells count="60">
    <mergeCell ref="B31:C31"/>
    <mergeCell ref="B46:C46"/>
    <mergeCell ref="B64:C64"/>
    <mergeCell ref="B77:C77"/>
    <mergeCell ref="B85:C85"/>
    <mergeCell ref="B86:C86"/>
    <mergeCell ref="B87:C87"/>
    <mergeCell ref="B88:C88"/>
    <mergeCell ref="B89:C89"/>
    <mergeCell ref="B80:C80"/>
    <mergeCell ref="B81:C81"/>
    <mergeCell ref="B82:C82"/>
    <mergeCell ref="B83:C83"/>
    <mergeCell ref="B84:C84"/>
    <mergeCell ref="B71:C71"/>
    <mergeCell ref="B72:C72"/>
    <mergeCell ref="B73:C73"/>
    <mergeCell ref="B78:C78"/>
    <mergeCell ref="B79:C79"/>
    <mergeCell ref="B66:C66"/>
    <mergeCell ref="B67:C67"/>
    <mergeCell ref="B68:C68"/>
    <mergeCell ref="B69:C69"/>
    <mergeCell ref="B70:C70"/>
    <mergeCell ref="B57:C57"/>
    <mergeCell ref="B58:C58"/>
    <mergeCell ref="B59:C59"/>
    <mergeCell ref="B60:C60"/>
    <mergeCell ref="B65:C65"/>
    <mergeCell ref="B52:C52"/>
    <mergeCell ref="B53:C53"/>
    <mergeCell ref="B54:C54"/>
    <mergeCell ref="B55:C55"/>
    <mergeCell ref="B56:C56"/>
    <mergeCell ref="B47:C47"/>
    <mergeCell ref="B48:C48"/>
    <mergeCell ref="B49:C49"/>
    <mergeCell ref="B50:C50"/>
    <mergeCell ref="B51:C51"/>
    <mergeCell ref="A15:C15"/>
    <mergeCell ref="A30:C30"/>
    <mergeCell ref="A45:C45"/>
    <mergeCell ref="A63:C63"/>
    <mergeCell ref="A76:C76"/>
    <mergeCell ref="B32:C32"/>
    <mergeCell ref="B33:C33"/>
    <mergeCell ref="B34:C34"/>
    <mergeCell ref="B35:C35"/>
    <mergeCell ref="B36:C36"/>
    <mergeCell ref="B37:C37"/>
    <mergeCell ref="B38:C38"/>
    <mergeCell ref="B39:C39"/>
    <mergeCell ref="B40:C40"/>
    <mergeCell ref="B41:C41"/>
    <mergeCell ref="B42:C42"/>
    <mergeCell ref="A11:D13"/>
    <mergeCell ref="A1:C1"/>
    <mergeCell ref="A2:C2"/>
    <mergeCell ref="A4:C4"/>
    <mergeCell ref="A10:C10"/>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257D9"/>
  </sheetPr>
  <dimension ref="A1:G38"/>
  <sheetViews>
    <sheetView showGridLines="0" workbookViewId="0">
      <pane xSplit="2" ySplit="4" topLeftCell="C5" activePane="bottomRight" state="frozen"/>
      <selection pane="topRight"/>
      <selection pane="bottomLeft"/>
      <selection pane="bottomRight" activeCell="C5" sqref="C5"/>
    </sheetView>
  </sheetViews>
  <sheetFormatPr defaultRowHeight="13.8"/>
  <cols>
    <col min="1" max="1" width="8.09765625" customWidth="1"/>
    <col min="2" max="2" width="32.5" customWidth="1"/>
    <col min="3" max="3" width="45.59765625" customWidth="1"/>
    <col min="4" max="4" width="41.19921875" customWidth="1"/>
    <col min="5" max="5" width="18.69921875" customWidth="1"/>
    <col min="6" max="6" width="32.5" customWidth="1"/>
    <col min="7" max="7" width="18.09765625" customWidth="1"/>
  </cols>
  <sheetData>
    <row r="1" spans="1:7" ht="46.05" customHeight="1">
      <c r="A1" s="130" t="s">
        <v>252</v>
      </c>
      <c r="B1" s="130"/>
      <c r="C1" s="130"/>
      <c r="D1" s="130"/>
      <c r="E1" s="130"/>
      <c r="F1" s="130"/>
      <c r="G1" s="130"/>
    </row>
    <row r="2" spans="1:7" ht="40.049999999999997" customHeight="1">
      <c r="A2" s="38" t="s">
        <v>253</v>
      </c>
      <c r="B2" s="38"/>
      <c r="C2" s="38"/>
      <c r="D2" s="38"/>
      <c r="E2" s="38"/>
      <c r="F2" s="38"/>
      <c r="G2" s="38"/>
    </row>
    <row r="3" spans="1:7" ht="12" customHeight="1">
      <c r="A3" s="13"/>
      <c r="B3" s="13"/>
      <c r="C3" s="13"/>
      <c r="D3" s="13"/>
      <c r="E3" s="13"/>
      <c r="F3" s="13"/>
      <c r="G3" s="13"/>
    </row>
    <row r="4" spans="1:7" ht="34.049999999999997" customHeight="1">
      <c r="A4" s="6" t="s">
        <v>39</v>
      </c>
      <c r="B4" s="6" t="s">
        <v>254</v>
      </c>
      <c r="C4" s="6" t="s">
        <v>99</v>
      </c>
      <c r="D4" s="6" t="s">
        <v>255</v>
      </c>
      <c r="E4" s="6" t="s">
        <v>69</v>
      </c>
      <c r="F4" s="6" t="s">
        <v>256</v>
      </c>
      <c r="G4" s="1"/>
    </row>
    <row r="5" spans="1:7" ht="55.05" customHeight="1">
      <c r="A5" s="14">
        <v>0</v>
      </c>
      <c r="B5" s="7" t="s">
        <v>257</v>
      </c>
      <c r="C5" s="7" t="s">
        <v>258</v>
      </c>
      <c r="D5" s="7" t="s">
        <v>259</v>
      </c>
      <c r="E5" s="14" t="s">
        <v>260</v>
      </c>
      <c r="F5" s="7" t="s">
        <v>261</v>
      </c>
      <c r="G5" s="1"/>
    </row>
    <row r="6" spans="1:7" ht="55.05" customHeight="1">
      <c r="A6" s="15">
        <v>1</v>
      </c>
      <c r="B6" s="8" t="s">
        <v>62</v>
      </c>
      <c r="C6" s="8" t="s">
        <v>262</v>
      </c>
      <c r="D6" s="8" t="s">
        <v>263</v>
      </c>
      <c r="E6" s="15" t="str">
        <f>IF(COUNTIFS('04_CONG_VIEC'!$B$5:$B$200,"P1",'04_CONG_VIEC'!$F$5:$F$200,"&lt;&gt;XONG")=0,"XONG","ĐANG LÀM")</f>
        <v>ĐANG LÀM</v>
      </c>
      <c r="F6" s="8" t="s">
        <v>264</v>
      </c>
      <c r="G6" s="1"/>
    </row>
    <row r="7" spans="1:7" ht="55.05" customHeight="1">
      <c r="A7" s="14">
        <v>2</v>
      </c>
      <c r="B7" s="7" t="s">
        <v>265</v>
      </c>
      <c r="C7" s="7" t="s">
        <v>266</v>
      </c>
      <c r="D7" s="7" t="s">
        <v>267</v>
      </c>
      <c r="E7" s="14" t="s">
        <v>268</v>
      </c>
      <c r="F7" s="7" t="s">
        <v>269</v>
      </c>
      <c r="G7" s="1"/>
    </row>
    <row r="8" spans="1:7" ht="55.05" customHeight="1">
      <c r="A8" s="15">
        <v>3</v>
      </c>
      <c r="B8" s="8" t="s">
        <v>270</v>
      </c>
      <c r="C8" s="8" t="s">
        <v>271</v>
      </c>
      <c r="D8" s="8" t="s">
        <v>272</v>
      </c>
      <c r="E8" s="15" t="s">
        <v>268</v>
      </c>
      <c r="F8" s="8"/>
      <c r="G8" s="1"/>
    </row>
    <row r="9" spans="1:7" ht="55.05" customHeight="1">
      <c r="A9" s="14">
        <v>4</v>
      </c>
      <c r="B9" s="7" t="s">
        <v>273</v>
      </c>
      <c r="C9" s="7" t="s">
        <v>274</v>
      </c>
      <c r="D9" s="7" t="s">
        <v>275</v>
      </c>
      <c r="E9" s="14" t="s">
        <v>268</v>
      </c>
      <c r="F9" s="7"/>
      <c r="G9" s="1"/>
    </row>
    <row r="10" spans="1:7" ht="55.05" customHeight="1">
      <c r="A10" s="15">
        <v>5</v>
      </c>
      <c r="B10" s="8" t="s">
        <v>276</v>
      </c>
      <c r="C10" s="8" t="s">
        <v>277</v>
      </c>
      <c r="D10" s="8" t="s">
        <v>278</v>
      </c>
      <c r="E10" s="15" t="s">
        <v>268</v>
      </c>
      <c r="F10" s="8"/>
      <c r="G10" s="1"/>
    </row>
    <row r="11" spans="1:7" ht="55.05" customHeight="1">
      <c r="A11" s="14">
        <v>6</v>
      </c>
      <c r="B11" s="7" t="s">
        <v>279</v>
      </c>
      <c r="C11" s="7" t="s">
        <v>280</v>
      </c>
      <c r="D11" s="7" t="s">
        <v>281</v>
      </c>
      <c r="E11" s="14" t="s">
        <v>268</v>
      </c>
      <c r="F11" s="7"/>
      <c r="G11" s="1"/>
    </row>
    <row r="12" spans="1:7" ht="55.05" customHeight="1">
      <c r="A12" s="15">
        <v>7</v>
      </c>
      <c r="B12" s="8" t="s">
        <v>282</v>
      </c>
      <c r="C12" s="8" t="s">
        <v>283</v>
      </c>
      <c r="D12" s="8" t="s">
        <v>284</v>
      </c>
      <c r="E12" s="15" t="s">
        <v>268</v>
      </c>
      <c r="F12" s="8"/>
      <c r="G12" s="1"/>
    </row>
    <row r="13" spans="1:7" ht="55.05" customHeight="1">
      <c r="A13" s="14">
        <v>8</v>
      </c>
      <c r="B13" s="7" t="s">
        <v>285</v>
      </c>
      <c r="C13" s="7" t="s">
        <v>286</v>
      </c>
      <c r="D13" s="7" t="s">
        <v>287</v>
      </c>
      <c r="E13" s="14" t="s">
        <v>268</v>
      </c>
      <c r="F13" s="7"/>
      <c r="G13" s="1"/>
    </row>
    <row r="14" spans="1:7" ht="55.05" customHeight="1">
      <c r="A14" s="15">
        <v>9</v>
      </c>
      <c r="B14" s="8" t="s">
        <v>288</v>
      </c>
      <c r="C14" s="8" t="s">
        <v>289</v>
      </c>
      <c r="D14" s="8" t="s">
        <v>290</v>
      </c>
      <c r="E14" s="15" t="s">
        <v>268</v>
      </c>
      <c r="F14" s="8" t="s">
        <v>291</v>
      </c>
      <c r="G14" s="1"/>
    </row>
    <row r="15" spans="1:7" ht="55.05" customHeight="1">
      <c r="A15" s="14">
        <v>10</v>
      </c>
      <c r="B15" s="7" t="s">
        <v>292</v>
      </c>
      <c r="C15" s="7" t="s">
        <v>293</v>
      </c>
      <c r="D15" s="7" t="s">
        <v>294</v>
      </c>
      <c r="E15" s="14" t="s">
        <v>268</v>
      </c>
      <c r="F15" s="7"/>
      <c r="G15" s="1"/>
    </row>
    <row r="16" spans="1:7" ht="55.05" customHeight="1">
      <c r="A16" s="15">
        <v>11</v>
      </c>
      <c r="B16" s="8" t="s">
        <v>295</v>
      </c>
      <c r="C16" s="8" t="s">
        <v>296</v>
      </c>
      <c r="D16" s="8" t="s">
        <v>297</v>
      </c>
      <c r="E16" s="15" t="s">
        <v>268</v>
      </c>
      <c r="F16" s="8"/>
      <c r="G16" s="1"/>
    </row>
    <row r="17" spans="1:7" ht="55.05" customHeight="1">
      <c r="A17" s="14">
        <v>12</v>
      </c>
      <c r="B17" s="7" t="s">
        <v>298</v>
      </c>
      <c r="C17" s="7" t="s">
        <v>299</v>
      </c>
      <c r="D17" s="7" t="s">
        <v>300</v>
      </c>
      <c r="E17" s="14" t="s">
        <v>268</v>
      </c>
      <c r="F17" s="7"/>
      <c r="G17" s="1"/>
    </row>
    <row r="18" spans="1:7" ht="55.05" customHeight="1">
      <c r="A18" s="15">
        <v>13</v>
      </c>
      <c r="B18" s="8" t="s">
        <v>301</v>
      </c>
      <c r="C18" s="8" t="s">
        <v>302</v>
      </c>
      <c r="D18" s="8" t="s">
        <v>303</v>
      </c>
      <c r="E18" s="15" t="s">
        <v>268</v>
      </c>
      <c r="F18" s="8"/>
      <c r="G18" s="1"/>
    </row>
    <row r="19" spans="1:7" ht="55.05" customHeight="1">
      <c r="A19" s="14">
        <v>14</v>
      </c>
      <c r="B19" s="7" t="s">
        <v>304</v>
      </c>
      <c r="C19" s="7" t="s">
        <v>305</v>
      </c>
      <c r="D19" s="7" t="s">
        <v>306</v>
      </c>
      <c r="E19" s="14" t="s">
        <v>268</v>
      </c>
      <c r="F19" s="7"/>
      <c r="G19" s="1"/>
    </row>
    <row r="20" spans="1:7" ht="55.05" customHeight="1">
      <c r="A20" s="15">
        <v>15</v>
      </c>
      <c r="B20" s="8" t="s">
        <v>307</v>
      </c>
      <c r="C20" s="8" t="s">
        <v>308</v>
      </c>
      <c r="D20" s="8" t="s">
        <v>309</v>
      </c>
      <c r="E20" s="15" t="s">
        <v>268</v>
      </c>
      <c r="F20" s="8" t="s">
        <v>310</v>
      </c>
      <c r="G20" s="1"/>
    </row>
    <row r="21" spans="1:7" ht="55.05" customHeight="1">
      <c r="A21" s="14">
        <v>16</v>
      </c>
      <c r="B21" s="7" t="s">
        <v>311</v>
      </c>
      <c r="C21" s="7" t="s">
        <v>312</v>
      </c>
      <c r="D21" s="7" t="s">
        <v>313</v>
      </c>
      <c r="E21" s="14" t="s">
        <v>268</v>
      </c>
      <c r="F21" s="7"/>
      <c r="G21" s="1"/>
    </row>
    <row r="22" spans="1:7" ht="55.05" customHeight="1">
      <c r="A22" s="15">
        <v>17</v>
      </c>
      <c r="B22" s="8" t="s">
        <v>314</v>
      </c>
      <c r="C22" s="8" t="s">
        <v>315</v>
      </c>
      <c r="D22" s="8" t="s">
        <v>316</v>
      </c>
      <c r="E22" s="15" t="s">
        <v>268</v>
      </c>
      <c r="F22" s="8"/>
      <c r="G22" s="1"/>
    </row>
    <row r="23" spans="1:7" ht="13.95" customHeight="1">
      <c r="A23" s="16"/>
      <c r="B23" s="1"/>
      <c r="C23" s="1"/>
      <c r="D23" s="1"/>
      <c r="E23" s="1"/>
      <c r="F23" s="1"/>
      <c r="G23" s="1"/>
    </row>
    <row r="24" spans="1:7" ht="13.95" customHeight="1">
      <c r="A24" s="16"/>
      <c r="B24" s="1"/>
      <c r="C24" s="1"/>
      <c r="D24" s="1"/>
      <c r="E24" s="1"/>
      <c r="F24" s="1"/>
      <c r="G24" s="1"/>
    </row>
    <row r="25" spans="1:7" ht="34.049999999999997" customHeight="1">
      <c r="A25" s="131" t="s">
        <v>317</v>
      </c>
      <c r="B25" s="127"/>
      <c r="C25" s="127"/>
      <c r="D25" s="127"/>
      <c r="E25" s="127"/>
      <c r="F25" s="127"/>
      <c r="G25" s="127"/>
    </row>
    <row r="26" spans="1:7" ht="55.05" customHeight="1">
      <c r="A26" s="6" t="s">
        <v>97</v>
      </c>
      <c r="B26" s="6" t="s">
        <v>75</v>
      </c>
      <c r="C26" s="6" t="s">
        <v>318</v>
      </c>
      <c r="D26" s="6" t="s">
        <v>319</v>
      </c>
      <c r="E26" s="6" t="s">
        <v>77</v>
      </c>
      <c r="F26" s="6" t="s">
        <v>69</v>
      </c>
      <c r="G26" s="6" t="s">
        <v>320</v>
      </c>
    </row>
    <row r="27" spans="1:7" ht="55.05" customHeight="1">
      <c r="A27" s="14">
        <v>1</v>
      </c>
      <c r="B27" s="7" t="s">
        <v>51</v>
      </c>
      <c r="C27" s="7" t="s">
        <v>321</v>
      </c>
      <c r="D27" s="7" t="s">
        <v>322</v>
      </c>
      <c r="E27" s="7" t="s">
        <v>323</v>
      </c>
      <c r="F27" s="14" t="str">
        <f>VLOOKUP("P1-T001",'04_CONG_VIEC'!$A$5:$F$200,6,FALSE)</f>
        <v>ĐANG LÀM</v>
      </c>
      <c r="G27" s="7"/>
    </row>
    <row r="28" spans="1:7" ht="55.05" customHeight="1">
      <c r="A28" s="15">
        <v>2</v>
      </c>
      <c r="B28" s="8" t="s">
        <v>51</v>
      </c>
      <c r="C28" s="8" t="s">
        <v>324</v>
      </c>
      <c r="D28" s="8" t="s">
        <v>325</v>
      </c>
      <c r="E28" s="8" t="s">
        <v>326</v>
      </c>
      <c r="F28" s="15" t="str">
        <f>VLOOKUP("P1-T002",'04_CONG_VIEC'!$A$5:$F$200,6,FALSE)</f>
        <v>CHỜ</v>
      </c>
      <c r="G28" s="8" t="s">
        <v>327</v>
      </c>
    </row>
    <row r="29" spans="1:7" ht="55.05" customHeight="1">
      <c r="A29" s="14">
        <v>3</v>
      </c>
      <c r="B29" s="7" t="s">
        <v>51</v>
      </c>
      <c r="C29" s="7" t="s">
        <v>328</v>
      </c>
      <c r="D29" s="7" t="s">
        <v>329</v>
      </c>
      <c r="E29" s="7" t="s">
        <v>330</v>
      </c>
      <c r="F29" s="14" t="str">
        <f>VLOOKUP("P1-T003",'04_CONG_VIEC'!$A$5:$F$200,6,FALSE)</f>
        <v>CHỜ</v>
      </c>
      <c r="G29" s="7" t="s">
        <v>327</v>
      </c>
    </row>
    <row r="30" spans="1:7" ht="55.05" customHeight="1">
      <c r="A30" s="15">
        <v>4</v>
      </c>
      <c r="B30" s="8" t="s">
        <v>331</v>
      </c>
      <c r="C30" s="8" t="s">
        <v>332</v>
      </c>
      <c r="D30" s="8" t="s">
        <v>333</v>
      </c>
      <c r="E30" s="8" t="s">
        <v>334</v>
      </c>
      <c r="F30" s="15" t="str">
        <f>VLOOKUP("P1-T004",'04_CONG_VIEC'!$A$5:$F$200,6,FALSE)</f>
        <v>CHỜ</v>
      </c>
      <c r="G30" s="8"/>
    </row>
    <row r="31" spans="1:7" ht="55.05" customHeight="1">
      <c r="A31" s="14">
        <v>5</v>
      </c>
      <c r="B31" s="7" t="s">
        <v>81</v>
      </c>
      <c r="C31" s="7" t="s">
        <v>335</v>
      </c>
      <c r="D31" s="7" t="s">
        <v>336</v>
      </c>
      <c r="E31" s="7" t="s">
        <v>337</v>
      </c>
      <c r="F31" s="14" t="str">
        <f>VLOOKUP("P1-T005",'04_CONG_VIEC'!$A$5:$F$200,6,FALSE)</f>
        <v>BỊ CHẶN</v>
      </c>
      <c r="G31" s="7"/>
    </row>
    <row r="32" spans="1:7" ht="55.05" customHeight="1">
      <c r="A32" s="15">
        <v>6</v>
      </c>
      <c r="B32" s="8" t="s">
        <v>81</v>
      </c>
      <c r="C32" s="8" t="s">
        <v>338</v>
      </c>
      <c r="D32" s="8" t="s">
        <v>339</v>
      </c>
      <c r="E32" s="8" t="s">
        <v>340</v>
      </c>
      <c r="F32" s="15" t="str">
        <f>VLOOKUP("P1-T006",'04_CONG_VIEC'!$A$5:$F$200,6,FALSE)</f>
        <v>BỊ CHẶN</v>
      </c>
      <c r="G32" s="8" t="s">
        <v>341</v>
      </c>
    </row>
    <row r="33" spans="1:7" ht="55.05" customHeight="1">
      <c r="A33" s="14">
        <v>7</v>
      </c>
      <c r="B33" s="7" t="s">
        <v>342</v>
      </c>
      <c r="C33" s="7" t="s">
        <v>343</v>
      </c>
      <c r="D33" s="7" t="s">
        <v>344</v>
      </c>
      <c r="E33" s="7" t="s">
        <v>86</v>
      </c>
      <c r="F33" s="14" t="str">
        <f>VLOOKUP("P1-T007",'04_CONG_VIEC'!$A$5:$F$200,6,FALSE)</f>
        <v>BỊ CHẶN</v>
      </c>
      <c r="G33" s="7" t="s">
        <v>345</v>
      </c>
    </row>
    <row r="34" spans="1:7" ht="55.05" customHeight="1">
      <c r="A34" s="15">
        <v>8</v>
      </c>
      <c r="B34" s="8" t="s">
        <v>346</v>
      </c>
      <c r="C34" s="8" t="s">
        <v>347</v>
      </c>
      <c r="D34" s="8" t="s">
        <v>348</v>
      </c>
      <c r="E34" s="8" t="s">
        <v>349</v>
      </c>
      <c r="F34" s="15" t="str">
        <f>VLOOKUP("P1-T008",'04_CONG_VIEC'!$A$5:$F$200,6,FALSE)</f>
        <v>BỊ CHẶN</v>
      </c>
      <c r="G34" s="8"/>
    </row>
    <row r="35" spans="1:7" ht="55.05" customHeight="1">
      <c r="A35" s="14">
        <v>9</v>
      </c>
      <c r="B35" s="7" t="s">
        <v>350</v>
      </c>
      <c r="C35" s="7" t="s">
        <v>351</v>
      </c>
      <c r="D35" s="7" t="s">
        <v>352</v>
      </c>
      <c r="E35" s="7" t="s">
        <v>353</v>
      </c>
      <c r="F35" s="14" t="str">
        <f>VLOOKUP("P1-T009",'04_CONG_VIEC'!$A$5:$F$200,6,FALSE)</f>
        <v>BỊ CHẶN</v>
      </c>
      <c r="G35" s="7" t="s">
        <v>354</v>
      </c>
    </row>
    <row r="36" spans="1:7" ht="55.05" customHeight="1">
      <c r="A36" s="15">
        <v>10</v>
      </c>
      <c r="B36" s="8" t="s">
        <v>355</v>
      </c>
      <c r="C36" s="8" t="s">
        <v>356</v>
      </c>
      <c r="D36" s="8" t="s">
        <v>357</v>
      </c>
      <c r="E36" s="8" t="s">
        <v>358</v>
      </c>
      <c r="F36" s="15" t="str">
        <f>VLOOKUP("P1-T010",'04_CONG_VIEC'!$A$5:$F$200,6,FALSE)</f>
        <v>BỊ CHẶN</v>
      </c>
      <c r="G36" s="8" t="s">
        <v>354</v>
      </c>
    </row>
    <row r="37" spans="1:7" ht="55.05" customHeight="1">
      <c r="A37" s="14">
        <v>11</v>
      </c>
      <c r="B37" s="7" t="s">
        <v>359</v>
      </c>
      <c r="C37" s="7" t="s">
        <v>360</v>
      </c>
      <c r="D37" s="7" t="s">
        <v>361</v>
      </c>
      <c r="E37" s="7" t="s">
        <v>92</v>
      </c>
      <c r="F37" s="14" t="str">
        <f>VLOOKUP("P1-T011",'04_CONG_VIEC'!$A$5:$F$200,6,FALSE)</f>
        <v>BỊ CHẶN</v>
      </c>
      <c r="G37" s="7"/>
    </row>
    <row r="38" spans="1:7" ht="55.05" customHeight="1">
      <c r="A38" s="15">
        <v>12</v>
      </c>
      <c r="B38" s="8" t="s">
        <v>362</v>
      </c>
      <c r="C38" s="8" t="s">
        <v>363</v>
      </c>
      <c r="D38" s="8" t="s">
        <v>364</v>
      </c>
      <c r="E38" s="8" t="s">
        <v>95</v>
      </c>
      <c r="F38" s="15" t="str">
        <f>VLOOKUP("P1-T012",'04_CONG_VIEC'!$A$5:$F$200,6,FALSE)</f>
        <v>BỊ CHẶN</v>
      </c>
      <c r="G38" s="8" t="s">
        <v>365</v>
      </c>
    </row>
  </sheetData>
  <mergeCells count="3">
    <mergeCell ref="A1:G1"/>
    <mergeCell ref="A2:G2"/>
    <mergeCell ref="A25:G25"/>
  </mergeCells>
  <conditionalFormatting sqref="E5:E22">
    <cfRule type="cellIs" dxfId="163" priority="39" operator="equal">
      <formula>"XONG"</formula>
    </cfRule>
    <cfRule type="cellIs" dxfId="162" priority="40" operator="equal">
      <formula>"PASS"</formula>
    </cfRule>
    <cfRule type="cellIs" dxfId="161" priority="41" operator="equal">
      <formula>"ĐÃ PASS"</formula>
    </cfRule>
    <cfRule type="cellIs" dxfId="160" priority="42" operator="equal">
      <formula>"ĐÃ GIẢI QUYẾT"</formula>
    </cfRule>
    <cfRule type="cellIs" dxfId="159" priority="43" operator="equal">
      <formula>"ĐANG LÀM"</formula>
    </cfRule>
    <cfRule type="cellIs" dxfId="158" priority="44" operator="equal">
      <formula>"BỊ CHẶN"</formula>
    </cfRule>
    <cfRule type="cellIs" dxfId="157" priority="45" operator="equal">
      <formula>"FAIL"</formula>
    </cfRule>
    <cfRule type="cellIs" dxfId="156" priority="46" operator="equal">
      <formula>"CHỜ"</formula>
    </cfRule>
    <cfRule type="cellIs" dxfId="155" priority="47" operator="equal">
      <formula>"CHƯA PASS"</formula>
    </cfRule>
    <cfRule type="cellIs" dxfId="154" priority="48" operator="equal">
      <formula>"CHỜ CHẠY"</formula>
    </cfRule>
    <cfRule type="cellIs" dxfId="153" priority="49" operator="equal">
      <formula>"MỞ"</formula>
    </cfRule>
    <cfRule type="cellIs" dxfId="152" priority="50" operator="equal">
      <formula>"TÌM THẤY / CHỜ CHẠY LẠI"</formula>
    </cfRule>
    <cfRule type="cellIs" dxfId="151" priority="51" operator="equal">
      <formula>"PASS LỊCH SỬ"</formula>
    </cfRule>
    <cfRule type="cellIs" dxfId="150" priority="52" operator="equal">
      <formula>"TẠM HOÃN"</formula>
    </cfRule>
    <cfRule type="cellIs" dxfId="149" priority="53" operator="equal">
      <formula>"CHƯA LÀM"</formula>
    </cfRule>
  </conditionalFormatting>
  <conditionalFormatting sqref="F27:F38">
    <cfRule type="cellIs" dxfId="148" priority="54" operator="equal">
      <formula>"XONG"</formula>
    </cfRule>
    <cfRule type="cellIs" dxfId="147" priority="55" operator="equal">
      <formula>"PASS"</formula>
    </cfRule>
    <cfRule type="cellIs" dxfId="146" priority="56" operator="equal">
      <formula>"ĐÃ PASS"</formula>
    </cfRule>
    <cfRule type="cellIs" dxfId="145" priority="57" operator="equal">
      <formula>"ĐÃ GIẢI QUYẾT"</formula>
    </cfRule>
    <cfRule type="cellIs" dxfId="144" priority="58" operator="equal">
      <formula>"ĐANG LÀM"</formula>
    </cfRule>
    <cfRule type="cellIs" dxfId="143" priority="59" operator="equal">
      <formula>"BỊ CHẶN"</formula>
    </cfRule>
    <cfRule type="cellIs" dxfId="142" priority="60" operator="equal">
      <formula>"FAIL"</formula>
    </cfRule>
    <cfRule type="cellIs" dxfId="141" priority="61" operator="equal">
      <formula>"CHỜ"</formula>
    </cfRule>
    <cfRule type="cellIs" dxfId="140" priority="62" operator="equal">
      <formula>"CHƯA PASS"</formula>
    </cfRule>
    <cfRule type="cellIs" dxfId="139" priority="63" operator="equal">
      <formula>"CHỜ CHẠY"</formula>
    </cfRule>
    <cfRule type="cellIs" dxfId="138" priority="64" operator="equal">
      <formula>"MỞ"</formula>
    </cfRule>
    <cfRule type="cellIs" dxfId="137" priority="65" operator="equal">
      <formula>"TÌM THẤY / CHỜ CHẠY LẠI"</formula>
    </cfRule>
    <cfRule type="cellIs" dxfId="136" priority="66" operator="equal">
      <formula>"PASS LỊCH SỬ"</formula>
    </cfRule>
    <cfRule type="cellIs" dxfId="135" priority="67" operator="equal">
      <formula>"TẠM HOÃN"</formula>
    </cfRule>
    <cfRule type="cellIs" dxfId="134" priority="68" operator="equal">
      <formula>"CHƯA LÀM"</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48115"/>
  </sheetPr>
  <dimension ref="A1:N200"/>
  <sheetViews>
    <sheetView showGridLines="0" workbookViewId="0">
      <pane xSplit="1" ySplit="4" topLeftCell="B5" activePane="bottomRight" state="frozen"/>
      <selection pane="topRight"/>
      <selection pane="bottomLeft"/>
      <selection pane="bottomRight" activeCell="B5" sqref="B5"/>
    </sheetView>
  </sheetViews>
  <sheetFormatPr defaultRowHeight="13.8"/>
  <cols>
    <col min="1" max="1" width="13.69921875" customWidth="1"/>
    <col min="2" max="2" width="8.09765625" customWidth="1"/>
    <col min="3" max="3" width="16.19921875" customWidth="1"/>
    <col min="4" max="4" width="41.8984375" customWidth="1"/>
    <col min="5" max="5" width="9.3984375" customWidth="1"/>
    <col min="6" max="6" width="16.8984375" customWidth="1"/>
    <col min="7" max="8" width="17.5" customWidth="1"/>
    <col min="9" max="10" width="15" customWidth="1"/>
    <col min="11" max="11" width="20" customWidth="1"/>
    <col min="12" max="12" width="45" customWidth="1"/>
    <col min="13" max="13" width="32.5" customWidth="1"/>
    <col min="14" max="14" width="37.5" customWidth="1"/>
  </cols>
  <sheetData>
    <row r="1" spans="1:14" ht="46.05" customHeight="1">
      <c r="A1" s="130" t="s">
        <v>366</v>
      </c>
      <c r="B1" s="130"/>
      <c r="C1" s="130"/>
      <c r="D1" s="130"/>
      <c r="E1" s="130"/>
      <c r="F1" s="130"/>
      <c r="G1" s="130"/>
      <c r="H1" s="130"/>
      <c r="I1" s="130"/>
      <c r="J1" s="130"/>
      <c r="K1" s="130"/>
      <c r="L1" s="130"/>
      <c r="M1" s="130"/>
      <c r="N1" s="130"/>
    </row>
    <row r="2" spans="1:14" ht="40.049999999999997" customHeight="1">
      <c r="A2" s="38" t="s">
        <v>367</v>
      </c>
      <c r="B2" s="38"/>
      <c r="C2" s="38"/>
      <c r="D2" s="38"/>
      <c r="E2" s="38"/>
      <c r="F2" s="38"/>
      <c r="G2" s="38"/>
      <c r="H2" s="38"/>
      <c r="I2" s="38"/>
      <c r="J2" s="38"/>
      <c r="K2" s="38"/>
      <c r="L2" s="38"/>
      <c r="M2" s="38"/>
      <c r="N2" s="38"/>
    </row>
    <row r="3" spans="1:14" ht="12" customHeight="1">
      <c r="A3" s="17"/>
      <c r="B3" s="17"/>
      <c r="C3" s="17"/>
      <c r="D3" s="17"/>
      <c r="E3" s="17"/>
      <c r="F3" s="17"/>
      <c r="G3" s="17"/>
      <c r="H3" s="17"/>
      <c r="I3" s="17"/>
      <c r="J3" s="17"/>
      <c r="K3" s="17"/>
      <c r="L3" s="17"/>
      <c r="M3" s="17"/>
      <c r="N3" s="17"/>
    </row>
    <row r="4" spans="1:14" ht="34.049999999999997" customHeight="1">
      <c r="A4" s="6" t="s">
        <v>368</v>
      </c>
      <c r="B4" s="6" t="s">
        <v>39</v>
      </c>
      <c r="C4" s="6" t="s">
        <v>75</v>
      </c>
      <c r="D4" s="6" t="s">
        <v>369</v>
      </c>
      <c r="E4" s="6" t="s">
        <v>370</v>
      </c>
      <c r="F4" s="6" t="s">
        <v>69</v>
      </c>
      <c r="G4" s="6" t="s">
        <v>371</v>
      </c>
      <c r="H4" s="6" t="s">
        <v>372</v>
      </c>
      <c r="I4" s="6" t="s">
        <v>373</v>
      </c>
      <c r="J4" s="6" t="s">
        <v>374</v>
      </c>
      <c r="K4" s="6" t="s">
        <v>320</v>
      </c>
      <c r="L4" s="6" t="s">
        <v>76</v>
      </c>
      <c r="M4" s="6" t="s">
        <v>375</v>
      </c>
      <c r="N4" s="6" t="s">
        <v>376</v>
      </c>
    </row>
    <row r="5" spans="1:14" ht="58.05" customHeight="1">
      <c r="A5" s="7" t="s">
        <v>323</v>
      </c>
      <c r="B5" s="7" t="s">
        <v>377</v>
      </c>
      <c r="C5" s="7" t="s">
        <v>51</v>
      </c>
      <c r="D5" s="7" t="s">
        <v>378</v>
      </c>
      <c r="E5" s="14" t="s">
        <v>379</v>
      </c>
      <c r="F5" s="14" t="s">
        <v>380</v>
      </c>
      <c r="G5" s="18"/>
      <c r="H5" s="18"/>
      <c r="I5" s="19"/>
      <c r="J5" s="20">
        <v>46292</v>
      </c>
      <c r="K5" s="7"/>
      <c r="L5" s="7" t="s">
        <v>381</v>
      </c>
      <c r="M5" s="18"/>
      <c r="N5" s="7" t="s">
        <v>382</v>
      </c>
    </row>
    <row r="6" spans="1:14" ht="58.05" customHeight="1">
      <c r="A6" s="8" t="s">
        <v>326</v>
      </c>
      <c r="B6" s="8" t="s">
        <v>377</v>
      </c>
      <c r="C6" s="8" t="s">
        <v>51</v>
      </c>
      <c r="D6" s="8" t="s">
        <v>383</v>
      </c>
      <c r="E6" s="15" t="s">
        <v>379</v>
      </c>
      <c r="F6" s="15" t="s">
        <v>384</v>
      </c>
      <c r="G6" s="18"/>
      <c r="H6" s="18"/>
      <c r="I6" s="19"/>
      <c r="J6" s="21">
        <v>46292</v>
      </c>
      <c r="K6" s="8" t="s">
        <v>323</v>
      </c>
      <c r="L6" s="8" t="s">
        <v>385</v>
      </c>
      <c r="M6" s="18"/>
      <c r="N6" s="8"/>
    </row>
    <row r="7" spans="1:14" ht="58.05" customHeight="1">
      <c r="A7" s="7" t="s">
        <v>330</v>
      </c>
      <c r="B7" s="7" t="s">
        <v>377</v>
      </c>
      <c r="C7" s="7" t="s">
        <v>51</v>
      </c>
      <c r="D7" s="7" t="s">
        <v>386</v>
      </c>
      <c r="E7" s="14" t="s">
        <v>379</v>
      </c>
      <c r="F7" s="14" t="s">
        <v>384</v>
      </c>
      <c r="G7" s="18"/>
      <c r="H7" s="18"/>
      <c r="I7" s="19"/>
      <c r="J7" s="20">
        <v>46292</v>
      </c>
      <c r="K7" s="7" t="s">
        <v>323</v>
      </c>
      <c r="L7" s="7" t="s">
        <v>387</v>
      </c>
      <c r="M7" s="18"/>
      <c r="N7" s="7"/>
    </row>
    <row r="8" spans="1:14" ht="58.05" customHeight="1">
      <c r="A8" s="8" t="s">
        <v>334</v>
      </c>
      <c r="B8" s="8" t="s">
        <v>377</v>
      </c>
      <c r="C8" s="8" t="s">
        <v>388</v>
      </c>
      <c r="D8" s="8" t="s">
        <v>389</v>
      </c>
      <c r="E8" s="15" t="s">
        <v>379</v>
      </c>
      <c r="F8" s="15" t="s">
        <v>384</v>
      </c>
      <c r="G8" s="18"/>
      <c r="H8" s="18"/>
      <c r="I8" s="19"/>
      <c r="J8" s="21">
        <v>46292</v>
      </c>
      <c r="K8" s="8"/>
      <c r="L8" s="8" t="s">
        <v>390</v>
      </c>
      <c r="M8" s="18"/>
      <c r="N8" s="8" t="s">
        <v>391</v>
      </c>
    </row>
    <row r="9" spans="1:14" ht="58.05" customHeight="1">
      <c r="A9" s="7" t="s">
        <v>337</v>
      </c>
      <c r="B9" s="7" t="s">
        <v>377</v>
      </c>
      <c r="C9" s="7" t="s">
        <v>199</v>
      </c>
      <c r="D9" s="7" t="s">
        <v>392</v>
      </c>
      <c r="E9" s="14" t="s">
        <v>379</v>
      </c>
      <c r="F9" s="14" t="s">
        <v>393</v>
      </c>
      <c r="G9" s="18"/>
      <c r="H9" s="18"/>
      <c r="I9" s="19"/>
      <c r="J9" s="20">
        <v>46292</v>
      </c>
      <c r="K9" s="7"/>
      <c r="L9" s="7" t="s">
        <v>394</v>
      </c>
      <c r="M9" s="18"/>
      <c r="N9" s="7" t="s">
        <v>395</v>
      </c>
    </row>
    <row r="10" spans="1:14" ht="58.05" customHeight="1">
      <c r="A10" s="8" t="s">
        <v>340</v>
      </c>
      <c r="B10" s="8" t="s">
        <v>377</v>
      </c>
      <c r="C10" s="8" t="s">
        <v>199</v>
      </c>
      <c r="D10" s="8" t="s">
        <v>396</v>
      </c>
      <c r="E10" s="15" t="s">
        <v>379</v>
      </c>
      <c r="F10" s="15" t="s">
        <v>393</v>
      </c>
      <c r="G10" s="18"/>
      <c r="H10" s="18"/>
      <c r="I10" s="19"/>
      <c r="J10" s="21">
        <v>46292</v>
      </c>
      <c r="K10" s="8" t="s">
        <v>337</v>
      </c>
      <c r="L10" s="8" t="s">
        <v>397</v>
      </c>
      <c r="M10" s="18"/>
      <c r="N10" s="8"/>
    </row>
    <row r="11" spans="1:14" ht="58.05" customHeight="1">
      <c r="A11" s="7" t="s">
        <v>86</v>
      </c>
      <c r="B11" s="7" t="s">
        <v>377</v>
      </c>
      <c r="C11" s="7" t="s">
        <v>342</v>
      </c>
      <c r="D11" s="7" t="s">
        <v>398</v>
      </c>
      <c r="E11" s="14" t="s">
        <v>379</v>
      </c>
      <c r="F11" s="14" t="s">
        <v>393</v>
      </c>
      <c r="G11" s="18"/>
      <c r="H11" s="18"/>
      <c r="I11" s="19"/>
      <c r="J11" s="20">
        <v>46292</v>
      </c>
      <c r="K11" s="7" t="s">
        <v>340</v>
      </c>
      <c r="L11" s="7" t="s">
        <v>399</v>
      </c>
      <c r="M11" s="18"/>
      <c r="N11" s="7"/>
    </row>
    <row r="12" spans="1:14" ht="58.05" customHeight="1">
      <c r="A12" s="8" t="s">
        <v>349</v>
      </c>
      <c r="B12" s="8" t="s">
        <v>377</v>
      </c>
      <c r="C12" s="8" t="s">
        <v>346</v>
      </c>
      <c r="D12" s="8" t="s">
        <v>400</v>
      </c>
      <c r="E12" s="15" t="s">
        <v>379</v>
      </c>
      <c r="F12" s="15" t="s">
        <v>393</v>
      </c>
      <c r="G12" s="18"/>
      <c r="H12" s="18"/>
      <c r="I12" s="19"/>
      <c r="J12" s="21">
        <v>46292</v>
      </c>
      <c r="K12" s="8"/>
      <c r="L12" s="8" t="s">
        <v>401</v>
      </c>
      <c r="M12" s="18"/>
      <c r="N12" s="8"/>
    </row>
    <row r="13" spans="1:14" ht="58.05" customHeight="1">
      <c r="A13" s="7" t="s">
        <v>353</v>
      </c>
      <c r="B13" s="7" t="s">
        <v>377</v>
      </c>
      <c r="C13" s="7" t="s">
        <v>350</v>
      </c>
      <c r="D13" s="7" t="s">
        <v>402</v>
      </c>
      <c r="E13" s="14" t="s">
        <v>379</v>
      </c>
      <c r="F13" s="14" t="s">
        <v>393</v>
      </c>
      <c r="G13" s="18"/>
      <c r="H13" s="18"/>
      <c r="I13" s="19"/>
      <c r="J13" s="20">
        <v>46292</v>
      </c>
      <c r="K13" s="7" t="s">
        <v>349</v>
      </c>
      <c r="L13" s="7" t="s">
        <v>403</v>
      </c>
      <c r="M13" s="18"/>
      <c r="N13" s="7"/>
    </row>
    <row r="14" spans="1:14" ht="58.05" customHeight="1">
      <c r="A14" s="8" t="s">
        <v>358</v>
      </c>
      <c r="B14" s="8" t="s">
        <v>377</v>
      </c>
      <c r="C14" s="8" t="s">
        <v>355</v>
      </c>
      <c r="D14" s="8" t="s">
        <v>404</v>
      </c>
      <c r="E14" s="15" t="s">
        <v>379</v>
      </c>
      <c r="F14" s="15" t="s">
        <v>393</v>
      </c>
      <c r="G14" s="18"/>
      <c r="H14" s="18"/>
      <c r="I14" s="19"/>
      <c r="J14" s="21">
        <v>46292</v>
      </c>
      <c r="K14" s="8" t="s">
        <v>349</v>
      </c>
      <c r="L14" s="8" t="s">
        <v>405</v>
      </c>
      <c r="M14" s="18"/>
      <c r="N14" s="8"/>
    </row>
    <row r="15" spans="1:14" ht="58.05" customHeight="1">
      <c r="A15" s="7" t="s">
        <v>92</v>
      </c>
      <c r="B15" s="7" t="s">
        <v>377</v>
      </c>
      <c r="C15" s="7" t="s">
        <v>359</v>
      </c>
      <c r="D15" s="7" t="s">
        <v>406</v>
      </c>
      <c r="E15" s="14" t="s">
        <v>379</v>
      </c>
      <c r="F15" s="14" t="s">
        <v>393</v>
      </c>
      <c r="G15" s="18"/>
      <c r="H15" s="18"/>
      <c r="I15" s="19"/>
      <c r="J15" s="20">
        <v>46292</v>
      </c>
      <c r="K15" s="7"/>
      <c r="L15" s="7" t="s">
        <v>407</v>
      </c>
      <c r="M15" s="18"/>
      <c r="N15" s="7"/>
    </row>
    <row r="16" spans="1:14" ht="58.05" customHeight="1">
      <c r="A16" s="8" t="s">
        <v>95</v>
      </c>
      <c r="B16" s="8" t="s">
        <v>377</v>
      </c>
      <c r="C16" s="8" t="s">
        <v>408</v>
      </c>
      <c r="D16" s="8" t="s">
        <v>109</v>
      </c>
      <c r="E16" s="15" t="s">
        <v>379</v>
      </c>
      <c r="F16" s="15" t="s">
        <v>393</v>
      </c>
      <c r="G16" s="18"/>
      <c r="H16" s="18"/>
      <c r="I16" s="19"/>
      <c r="J16" s="21">
        <v>46292</v>
      </c>
      <c r="K16" s="8" t="s">
        <v>409</v>
      </c>
      <c r="L16" s="8" t="s">
        <v>410</v>
      </c>
      <c r="M16" s="18"/>
      <c r="N16" s="8"/>
    </row>
    <row r="17" spans="1:14" ht="58.05" customHeight="1">
      <c r="A17" s="7" t="s">
        <v>411</v>
      </c>
      <c r="B17" s="7" t="s">
        <v>412</v>
      </c>
      <c r="C17" s="7" t="s">
        <v>413</v>
      </c>
      <c r="D17" s="7" t="s">
        <v>414</v>
      </c>
      <c r="E17" s="14" t="s">
        <v>377</v>
      </c>
      <c r="F17" s="14" t="s">
        <v>268</v>
      </c>
      <c r="G17" s="18"/>
      <c r="H17" s="18"/>
      <c r="I17" s="19"/>
      <c r="J17" s="20">
        <v>46292</v>
      </c>
      <c r="K17" s="7" t="s">
        <v>415</v>
      </c>
      <c r="L17" s="7" t="s">
        <v>416</v>
      </c>
      <c r="M17" s="18"/>
      <c r="N17" s="7"/>
    </row>
    <row r="18" spans="1:14" ht="30" customHeight="1">
      <c r="A18" s="1"/>
      <c r="B18" s="1"/>
      <c r="C18" s="1"/>
      <c r="D18" s="1"/>
      <c r="E18" s="16"/>
      <c r="F18" s="16"/>
      <c r="G18" s="1"/>
      <c r="H18" s="1"/>
      <c r="I18" s="22"/>
      <c r="J18" s="22"/>
      <c r="K18" s="1"/>
      <c r="L18" s="1"/>
      <c r="M18" s="1"/>
      <c r="N18" s="1"/>
    </row>
    <row r="19" spans="1:14" ht="30" customHeight="1">
      <c r="A19" s="1"/>
      <c r="B19" s="1"/>
      <c r="C19" s="1"/>
      <c r="D19" s="1"/>
      <c r="E19" s="16"/>
      <c r="F19" s="16"/>
      <c r="G19" s="1"/>
      <c r="H19" s="1"/>
      <c r="I19" s="22"/>
      <c r="J19" s="22"/>
      <c r="K19" s="1"/>
      <c r="L19" s="1"/>
      <c r="M19" s="1"/>
      <c r="N19" s="1"/>
    </row>
    <row r="20" spans="1:14" ht="43.95" customHeight="1">
      <c r="A20" s="132" t="s">
        <v>417</v>
      </c>
      <c r="B20" s="132"/>
      <c r="C20" s="132"/>
      <c r="D20" s="132"/>
      <c r="E20" s="133"/>
      <c r="F20" s="133"/>
      <c r="G20" s="132"/>
      <c r="H20" s="132"/>
      <c r="I20" s="134"/>
      <c r="J20" s="134"/>
      <c r="K20" s="132"/>
      <c r="L20" s="132"/>
      <c r="M20" s="132"/>
      <c r="N20" s="132"/>
    </row>
    <row r="21" spans="1:14">
      <c r="E21" s="24"/>
      <c r="F21" s="24"/>
      <c r="I21" s="23"/>
      <c r="J21" s="23"/>
    </row>
    <row r="22" spans="1:14">
      <c r="E22" s="24"/>
      <c r="F22" s="24"/>
      <c r="I22" s="23"/>
      <c r="J22" s="23"/>
    </row>
    <row r="23" spans="1:14">
      <c r="E23" s="24"/>
      <c r="F23" s="24"/>
      <c r="I23" s="23"/>
      <c r="J23" s="23"/>
    </row>
    <row r="24" spans="1:14">
      <c r="E24" s="24"/>
      <c r="F24" s="24"/>
      <c r="I24" s="23"/>
      <c r="J24" s="23"/>
    </row>
    <row r="25" spans="1:14">
      <c r="E25" s="24"/>
      <c r="F25" s="24"/>
      <c r="I25" s="23"/>
      <c r="J25" s="23"/>
    </row>
    <row r="26" spans="1:14">
      <c r="E26" s="24"/>
      <c r="F26" s="24"/>
      <c r="I26" s="23"/>
      <c r="J26" s="23"/>
    </row>
    <row r="27" spans="1:14">
      <c r="E27" s="24"/>
      <c r="F27" s="24"/>
      <c r="I27" s="23"/>
      <c r="J27" s="23"/>
    </row>
    <row r="28" spans="1:14">
      <c r="E28" s="24"/>
      <c r="F28" s="24"/>
      <c r="I28" s="23"/>
      <c r="J28" s="23"/>
    </row>
    <row r="29" spans="1:14">
      <c r="E29" s="24"/>
      <c r="F29" s="24"/>
      <c r="I29" s="23"/>
      <c r="J29" s="23"/>
    </row>
    <row r="30" spans="1:14">
      <c r="E30" s="24"/>
      <c r="F30" s="24"/>
      <c r="I30" s="23"/>
      <c r="J30" s="23"/>
    </row>
    <row r="31" spans="1:14">
      <c r="E31" s="24"/>
      <c r="F31" s="24"/>
      <c r="I31" s="23"/>
      <c r="J31" s="23"/>
    </row>
    <row r="32" spans="1:14">
      <c r="E32" s="24"/>
      <c r="F32" s="24"/>
      <c r="I32" s="23"/>
      <c r="J32" s="23"/>
    </row>
    <row r="33" spans="5:10">
      <c r="E33" s="24"/>
      <c r="F33" s="24"/>
      <c r="I33" s="23"/>
      <c r="J33" s="23"/>
    </row>
    <row r="34" spans="5:10">
      <c r="E34" s="24"/>
      <c r="F34" s="24"/>
      <c r="I34" s="23"/>
      <c r="J34" s="23"/>
    </row>
    <row r="35" spans="5:10">
      <c r="E35" s="24"/>
      <c r="F35" s="24"/>
      <c r="I35" s="23"/>
      <c r="J35" s="23"/>
    </row>
    <row r="36" spans="5:10">
      <c r="E36" s="24"/>
      <c r="F36" s="24"/>
      <c r="I36" s="23"/>
      <c r="J36" s="23"/>
    </row>
    <row r="37" spans="5:10">
      <c r="E37" s="24"/>
      <c r="F37" s="24"/>
      <c r="I37" s="23"/>
      <c r="J37" s="23"/>
    </row>
    <row r="38" spans="5:10">
      <c r="E38" s="24"/>
      <c r="F38" s="24"/>
      <c r="I38" s="23"/>
      <c r="J38" s="23"/>
    </row>
    <row r="39" spans="5:10">
      <c r="E39" s="24"/>
      <c r="F39" s="24"/>
      <c r="I39" s="23"/>
      <c r="J39" s="23"/>
    </row>
    <row r="40" spans="5:10">
      <c r="E40" s="24"/>
      <c r="F40" s="24"/>
      <c r="I40" s="23"/>
      <c r="J40" s="23"/>
    </row>
    <row r="41" spans="5:10">
      <c r="E41" s="24"/>
      <c r="F41" s="24"/>
      <c r="I41" s="23"/>
      <c r="J41" s="23"/>
    </row>
    <row r="42" spans="5:10">
      <c r="E42" s="24"/>
      <c r="F42" s="24"/>
      <c r="I42" s="23"/>
      <c r="J42" s="23"/>
    </row>
    <row r="43" spans="5:10">
      <c r="E43" s="24"/>
      <c r="F43" s="24"/>
      <c r="I43" s="23"/>
      <c r="J43" s="23"/>
    </row>
    <row r="44" spans="5:10">
      <c r="E44" s="24"/>
      <c r="F44" s="24"/>
      <c r="I44" s="23"/>
      <c r="J44" s="23"/>
    </row>
    <row r="45" spans="5:10">
      <c r="E45" s="24"/>
      <c r="F45" s="24"/>
      <c r="I45" s="23"/>
      <c r="J45" s="23"/>
    </row>
    <row r="46" spans="5:10">
      <c r="E46" s="24"/>
      <c r="F46" s="24"/>
      <c r="I46" s="23"/>
      <c r="J46" s="23"/>
    </row>
    <row r="47" spans="5:10">
      <c r="E47" s="24"/>
      <c r="F47" s="24"/>
      <c r="I47" s="23"/>
      <c r="J47" s="23"/>
    </row>
    <row r="48" spans="5:10">
      <c r="E48" s="24"/>
      <c r="F48" s="24"/>
      <c r="I48" s="23"/>
      <c r="J48" s="23"/>
    </row>
    <row r="49" spans="5:10">
      <c r="E49" s="24"/>
      <c r="F49" s="24"/>
      <c r="I49" s="23"/>
      <c r="J49" s="23"/>
    </row>
    <row r="50" spans="5:10">
      <c r="E50" s="24"/>
      <c r="F50" s="24"/>
      <c r="I50" s="23"/>
      <c r="J50" s="23"/>
    </row>
    <row r="51" spans="5:10">
      <c r="E51" s="24"/>
      <c r="F51" s="24"/>
      <c r="I51" s="23"/>
      <c r="J51" s="23"/>
    </row>
    <row r="52" spans="5:10">
      <c r="E52" s="24"/>
      <c r="F52" s="24"/>
      <c r="I52" s="23"/>
      <c r="J52" s="23"/>
    </row>
    <row r="53" spans="5:10">
      <c r="E53" s="24"/>
      <c r="F53" s="24"/>
      <c r="I53" s="23"/>
      <c r="J53" s="23"/>
    </row>
    <row r="54" spans="5:10">
      <c r="E54" s="24"/>
      <c r="F54" s="24"/>
      <c r="I54" s="23"/>
      <c r="J54" s="23"/>
    </row>
    <row r="55" spans="5:10">
      <c r="E55" s="24"/>
      <c r="F55" s="24"/>
      <c r="I55" s="23"/>
      <c r="J55" s="23"/>
    </row>
    <row r="56" spans="5:10">
      <c r="E56" s="24"/>
      <c r="F56" s="24"/>
      <c r="I56" s="23"/>
      <c r="J56" s="23"/>
    </row>
    <row r="57" spans="5:10">
      <c r="E57" s="24"/>
      <c r="F57" s="24"/>
      <c r="I57" s="23"/>
      <c r="J57" s="23"/>
    </row>
    <row r="58" spans="5:10">
      <c r="E58" s="24"/>
      <c r="F58" s="24"/>
      <c r="I58" s="23"/>
      <c r="J58" s="23"/>
    </row>
    <row r="59" spans="5:10">
      <c r="E59" s="24"/>
      <c r="F59" s="24"/>
      <c r="I59" s="23"/>
      <c r="J59" s="23"/>
    </row>
    <row r="60" spans="5:10">
      <c r="E60" s="24"/>
      <c r="F60" s="24"/>
      <c r="I60" s="23"/>
      <c r="J60" s="23"/>
    </row>
    <row r="61" spans="5:10">
      <c r="E61" s="24"/>
      <c r="F61" s="24"/>
      <c r="I61" s="23"/>
      <c r="J61" s="23"/>
    </row>
    <row r="62" spans="5:10">
      <c r="E62" s="24"/>
      <c r="F62" s="24"/>
      <c r="I62" s="23"/>
      <c r="J62" s="23"/>
    </row>
    <row r="63" spans="5:10">
      <c r="E63" s="24"/>
      <c r="F63" s="24"/>
      <c r="I63" s="23"/>
      <c r="J63" s="23"/>
    </row>
    <row r="64" spans="5:10">
      <c r="E64" s="24"/>
      <c r="F64" s="24"/>
      <c r="I64" s="23"/>
      <c r="J64" s="23"/>
    </row>
    <row r="65" spans="5:10">
      <c r="E65" s="24"/>
      <c r="F65" s="24"/>
      <c r="I65" s="23"/>
      <c r="J65" s="23"/>
    </row>
    <row r="66" spans="5:10">
      <c r="E66" s="24"/>
      <c r="F66" s="24"/>
      <c r="I66" s="23"/>
      <c r="J66" s="23"/>
    </row>
    <row r="67" spans="5:10">
      <c r="E67" s="24"/>
      <c r="F67" s="24"/>
      <c r="I67" s="23"/>
      <c r="J67" s="23"/>
    </row>
    <row r="68" spans="5:10">
      <c r="E68" s="24"/>
      <c r="F68" s="24"/>
      <c r="I68" s="23"/>
      <c r="J68" s="23"/>
    </row>
    <row r="69" spans="5:10">
      <c r="E69" s="24"/>
      <c r="F69" s="24"/>
      <c r="I69" s="23"/>
      <c r="J69" s="23"/>
    </row>
    <row r="70" spans="5:10">
      <c r="E70" s="24"/>
      <c r="F70" s="24"/>
      <c r="I70" s="23"/>
      <c r="J70" s="23"/>
    </row>
    <row r="71" spans="5:10">
      <c r="E71" s="24"/>
      <c r="F71" s="24"/>
      <c r="I71" s="23"/>
      <c r="J71" s="23"/>
    </row>
    <row r="72" spans="5:10">
      <c r="E72" s="24"/>
      <c r="F72" s="24"/>
      <c r="I72" s="23"/>
      <c r="J72" s="23"/>
    </row>
    <row r="73" spans="5:10">
      <c r="E73" s="24"/>
      <c r="F73" s="24"/>
      <c r="I73" s="23"/>
      <c r="J73" s="23"/>
    </row>
    <row r="74" spans="5:10">
      <c r="E74" s="24"/>
      <c r="F74" s="24"/>
      <c r="I74" s="23"/>
      <c r="J74" s="23"/>
    </row>
    <row r="75" spans="5:10">
      <c r="E75" s="24"/>
      <c r="F75" s="24"/>
      <c r="I75" s="23"/>
      <c r="J75" s="23"/>
    </row>
    <row r="76" spans="5:10">
      <c r="E76" s="24"/>
      <c r="F76" s="24"/>
      <c r="I76" s="23"/>
      <c r="J76" s="23"/>
    </row>
    <row r="77" spans="5:10">
      <c r="E77" s="24"/>
      <c r="F77" s="24"/>
      <c r="I77" s="23"/>
      <c r="J77" s="23"/>
    </row>
    <row r="78" spans="5:10">
      <c r="E78" s="24"/>
      <c r="F78" s="24"/>
      <c r="I78" s="23"/>
      <c r="J78" s="23"/>
    </row>
    <row r="79" spans="5:10">
      <c r="E79" s="24"/>
      <c r="F79" s="24"/>
      <c r="I79" s="23"/>
      <c r="J79" s="23"/>
    </row>
    <row r="80" spans="5:10">
      <c r="E80" s="24"/>
      <c r="F80" s="24"/>
      <c r="I80" s="23"/>
      <c r="J80" s="23"/>
    </row>
    <row r="81" spans="5:10">
      <c r="E81" s="24"/>
      <c r="F81" s="24"/>
      <c r="I81" s="23"/>
      <c r="J81" s="23"/>
    </row>
    <row r="82" spans="5:10">
      <c r="E82" s="24"/>
      <c r="F82" s="24"/>
      <c r="I82" s="23"/>
      <c r="J82" s="23"/>
    </row>
    <row r="83" spans="5:10">
      <c r="E83" s="24"/>
      <c r="F83" s="24"/>
      <c r="I83" s="23"/>
      <c r="J83" s="23"/>
    </row>
    <row r="84" spans="5:10">
      <c r="E84" s="24"/>
      <c r="F84" s="24"/>
      <c r="I84" s="23"/>
      <c r="J84" s="23"/>
    </row>
    <row r="85" spans="5:10">
      <c r="E85" s="24"/>
      <c r="F85" s="24"/>
      <c r="I85" s="23"/>
      <c r="J85" s="23"/>
    </row>
    <row r="86" spans="5:10">
      <c r="E86" s="24"/>
      <c r="F86" s="24"/>
      <c r="I86" s="23"/>
      <c r="J86" s="23"/>
    </row>
    <row r="87" spans="5:10">
      <c r="E87" s="24"/>
      <c r="F87" s="24"/>
      <c r="I87" s="23"/>
      <c r="J87" s="23"/>
    </row>
    <row r="88" spans="5:10">
      <c r="E88" s="24"/>
      <c r="F88" s="24"/>
      <c r="I88" s="23"/>
      <c r="J88" s="23"/>
    </row>
    <row r="89" spans="5:10">
      <c r="E89" s="24"/>
      <c r="F89" s="24"/>
      <c r="I89" s="23"/>
      <c r="J89" s="23"/>
    </row>
    <row r="90" spans="5:10">
      <c r="E90" s="24"/>
      <c r="F90" s="24"/>
      <c r="I90" s="23"/>
      <c r="J90" s="23"/>
    </row>
    <row r="91" spans="5:10">
      <c r="E91" s="24"/>
      <c r="F91" s="24"/>
      <c r="I91" s="23"/>
      <c r="J91" s="23"/>
    </row>
    <row r="92" spans="5:10">
      <c r="E92" s="24"/>
      <c r="F92" s="24"/>
      <c r="I92" s="23"/>
      <c r="J92" s="23"/>
    </row>
    <row r="93" spans="5:10">
      <c r="E93" s="24"/>
      <c r="F93" s="24"/>
      <c r="I93" s="23"/>
      <c r="J93" s="23"/>
    </row>
    <row r="94" spans="5:10">
      <c r="E94" s="24"/>
      <c r="F94" s="24"/>
      <c r="I94" s="23"/>
      <c r="J94" s="23"/>
    </row>
    <row r="95" spans="5:10">
      <c r="E95" s="24"/>
      <c r="F95" s="24"/>
      <c r="I95" s="23"/>
      <c r="J95" s="23"/>
    </row>
    <row r="96" spans="5:10">
      <c r="E96" s="24"/>
      <c r="F96" s="24"/>
      <c r="I96" s="23"/>
      <c r="J96" s="23"/>
    </row>
    <row r="97" spans="5:10">
      <c r="E97" s="24"/>
      <c r="F97" s="24"/>
      <c r="I97" s="23"/>
      <c r="J97" s="23"/>
    </row>
    <row r="98" spans="5:10">
      <c r="E98" s="24"/>
      <c r="F98" s="24"/>
      <c r="I98" s="23"/>
      <c r="J98" s="23"/>
    </row>
    <row r="99" spans="5:10">
      <c r="E99" s="24"/>
      <c r="F99" s="24"/>
      <c r="I99" s="23"/>
      <c r="J99" s="23"/>
    </row>
    <row r="100" spans="5:10">
      <c r="E100" s="24"/>
      <c r="F100" s="24"/>
      <c r="I100" s="23"/>
      <c r="J100" s="23"/>
    </row>
    <row r="101" spans="5:10">
      <c r="E101" s="24"/>
      <c r="F101" s="24"/>
      <c r="I101" s="23"/>
      <c r="J101" s="23"/>
    </row>
    <row r="102" spans="5:10">
      <c r="E102" s="24"/>
      <c r="F102" s="24"/>
      <c r="I102" s="23"/>
      <c r="J102" s="23"/>
    </row>
    <row r="103" spans="5:10">
      <c r="E103" s="24"/>
      <c r="F103" s="24"/>
      <c r="I103" s="23"/>
      <c r="J103" s="23"/>
    </row>
    <row r="104" spans="5:10">
      <c r="E104" s="24"/>
      <c r="F104" s="24"/>
      <c r="I104" s="23"/>
      <c r="J104" s="23"/>
    </row>
    <row r="105" spans="5:10">
      <c r="E105" s="24"/>
      <c r="F105" s="24"/>
      <c r="I105" s="23"/>
      <c r="J105" s="23"/>
    </row>
    <row r="106" spans="5:10">
      <c r="E106" s="24"/>
      <c r="F106" s="24"/>
      <c r="I106" s="23"/>
      <c r="J106" s="23"/>
    </row>
    <row r="107" spans="5:10">
      <c r="E107" s="24"/>
      <c r="F107" s="24"/>
      <c r="I107" s="23"/>
      <c r="J107" s="23"/>
    </row>
    <row r="108" spans="5:10">
      <c r="E108" s="24"/>
      <c r="F108" s="24"/>
      <c r="I108" s="23"/>
      <c r="J108" s="23"/>
    </row>
    <row r="109" spans="5:10">
      <c r="E109" s="24"/>
      <c r="F109" s="24"/>
      <c r="I109" s="23"/>
      <c r="J109" s="23"/>
    </row>
    <row r="110" spans="5:10">
      <c r="E110" s="24"/>
      <c r="F110" s="24"/>
      <c r="I110" s="23"/>
      <c r="J110" s="23"/>
    </row>
    <row r="111" spans="5:10">
      <c r="E111" s="24"/>
      <c r="F111" s="24"/>
      <c r="I111" s="23"/>
      <c r="J111" s="23"/>
    </row>
    <row r="112" spans="5:10">
      <c r="E112" s="24"/>
      <c r="F112" s="24"/>
      <c r="I112" s="23"/>
      <c r="J112" s="23"/>
    </row>
    <row r="113" spans="5:10">
      <c r="E113" s="24"/>
      <c r="F113" s="24"/>
      <c r="I113" s="23"/>
      <c r="J113" s="23"/>
    </row>
    <row r="114" spans="5:10">
      <c r="E114" s="24"/>
      <c r="F114" s="24"/>
      <c r="I114" s="23"/>
      <c r="J114" s="23"/>
    </row>
    <row r="115" spans="5:10">
      <c r="E115" s="24"/>
      <c r="F115" s="24"/>
      <c r="I115" s="23"/>
      <c r="J115" s="23"/>
    </row>
    <row r="116" spans="5:10">
      <c r="E116" s="24"/>
      <c r="F116" s="24"/>
      <c r="I116" s="23"/>
      <c r="J116" s="23"/>
    </row>
    <row r="117" spans="5:10">
      <c r="E117" s="24"/>
      <c r="F117" s="24"/>
      <c r="I117" s="23"/>
      <c r="J117" s="23"/>
    </row>
    <row r="118" spans="5:10">
      <c r="E118" s="24"/>
      <c r="F118" s="24"/>
      <c r="I118" s="23"/>
      <c r="J118" s="23"/>
    </row>
    <row r="119" spans="5:10">
      <c r="E119" s="24"/>
      <c r="F119" s="24"/>
      <c r="I119" s="23"/>
      <c r="J119" s="23"/>
    </row>
    <row r="120" spans="5:10">
      <c r="E120" s="24"/>
      <c r="F120" s="24"/>
      <c r="I120" s="23"/>
      <c r="J120" s="23"/>
    </row>
    <row r="121" spans="5:10">
      <c r="E121" s="24"/>
      <c r="F121" s="24"/>
      <c r="I121" s="23"/>
      <c r="J121" s="23"/>
    </row>
    <row r="122" spans="5:10">
      <c r="E122" s="24"/>
      <c r="F122" s="24"/>
      <c r="I122" s="23"/>
      <c r="J122" s="23"/>
    </row>
    <row r="123" spans="5:10">
      <c r="E123" s="24"/>
      <c r="F123" s="24"/>
      <c r="I123" s="23"/>
      <c r="J123" s="23"/>
    </row>
    <row r="124" spans="5:10">
      <c r="E124" s="24"/>
      <c r="F124" s="24"/>
      <c r="I124" s="23"/>
      <c r="J124" s="23"/>
    </row>
    <row r="125" spans="5:10">
      <c r="E125" s="24"/>
      <c r="F125" s="24"/>
      <c r="I125" s="23"/>
      <c r="J125" s="23"/>
    </row>
    <row r="126" spans="5:10">
      <c r="E126" s="24"/>
      <c r="F126" s="24"/>
      <c r="I126" s="23"/>
      <c r="J126" s="23"/>
    </row>
    <row r="127" spans="5:10">
      <c r="E127" s="24"/>
      <c r="F127" s="24"/>
      <c r="I127" s="23"/>
      <c r="J127" s="23"/>
    </row>
    <row r="128" spans="5:10">
      <c r="E128" s="24"/>
      <c r="F128" s="24"/>
      <c r="I128" s="23"/>
      <c r="J128" s="23"/>
    </row>
    <row r="129" spans="5:10">
      <c r="E129" s="24"/>
      <c r="F129" s="24"/>
      <c r="I129" s="23"/>
      <c r="J129" s="23"/>
    </row>
    <row r="130" spans="5:10">
      <c r="E130" s="24"/>
      <c r="F130" s="24"/>
      <c r="I130" s="23"/>
      <c r="J130" s="23"/>
    </row>
    <row r="131" spans="5:10">
      <c r="E131" s="24"/>
      <c r="F131" s="24"/>
      <c r="I131" s="23"/>
      <c r="J131" s="23"/>
    </row>
    <row r="132" spans="5:10">
      <c r="E132" s="24"/>
      <c r="F132" s="24"/>
      <c r="I132" s="23"/>
      <c r="J132" s="23"/>
    </row>
    <row r="133" spans="5:10">
      <c r="E133" s="24"/>
      <c r="F133" s="24"/>
      <c r="I133" s="23"/>
      <c r="J133" s="23"/>
    </row>
    <row r="134" spans="5:10">
      <c r="E134" s="24"/>
      <c r="F134" s="24"/>
      <c r="I134" s="23"/>
      <c r="J134" s="23"/>
    </row>
    <row r="135" spans="5:10">
      <c r="E135" s="24"/>
      <c r="F135" s="24"/>
      <c r="I135" s="23"/>
      <c r="J135" s="23"/>
    </row>
    <row r="136" spans="5:10">
      <c r="E136" s="24"/>
      <c r="F136" s="24"/>
      <c r="I136" s="23"/>
      <c r="J136" s="23"/>
    </row>
    <row r="137" spans="5:10">
      <c r="E137" s="24"/>
      <c r="F137" s="24"/>
      <c r="I137" s="23"/>
      <c r="J137" s="23"/>
    </row>
    <row r="138" spans="5:10">
      <c r="E138" s="24"/>
      <c r="F138" s="24"/>
      <c r="I138" s="23"/>
      <c r="J138" s="23"/>
    </row>
    <row r="139" spans="5:10">
      <c r="E139" s="24"/>
      <c r="F139" s="24"/>
      <c r="I139" s="23"/>
      <c r="J139" s="23"/>
    </row>
    <row r="140" spans="5:10">
      <c r="E140" s="24"/>
      <c r="F140" s="24"/>
      <c r="I140" s="23"/>
      <c r="J140" s="23"/>
    </row>
    <row r="141" spans="5:10">
      <c r="E141" s="24"/>
      <c r="F141" s="24"/>
      <c r="I141" s="23"/>
      <c r="J141" s="23"/>
    </row>
    <row r="142" spans="5:10">
      <c r="E142" s="24"/>
      <c r="F142" s="24"/>
      <c r="I142" s="23"/>
      <c r="J142" s="23"/>
    </row>
    <row r="143" spans="5:10">
      <c r="E143" s="24"/>
      <c r="F143" s="24"/>
      <c r="I143" s="23"/>
      <c r="J143" s="23"/>
    </row>
    <row r="144" spans="5:10">
      <c r="E144" s="24"/>
      <c r="F144" s="24"/>
      <c r="I144" s="23"/>
      <c r="J144" s="23"/>
    </row>
    <row r="145" spans="5:10">
      <c r="E145" s="24"/>
      <c r="F145" s="24"/>
      <c r="I145" s="23"/>
      <c r="J145" s="23"/>
    </row>
    <row r="146" spans="5:10">
      <c r="E146" s="24"/>
      <c r="F146" s="24"/>
      <c r="I146" s="23"/>
      <c r="J146" s="23"/>
    </row>
    <row r="147" spans="5:10">
      <c r="E147" s="24"/>
      <c r="F147" s="24"/>
      <c r="I147" s="23"/>
      <c r="J147" s="23"/>
    </row>
    <row r="148" spans="5:10">
      <c r="E148" s="24"/>
      <c r="F148" s="24"/>
      <c r="I148" s="23"/>
      <c r="J148" s="23"/>
    </row>
    <row r="149" spans="5:10">
      <c r="E149" s="24"/>
      <c r="F149" s="24"/>
      <c r="I149" s="23"/>
      <c r="J149" s="23"/>
    </row>
    <row r="150" spans="5:10">
      <c r="E150" s="24"/>
      <c r="F150" s="24"/>
      <c r="I150" s="23"/>
      <c r="J150" s="23"/>
    </row>
    <row r="151" spans="5:10">
      <c r="E151" s="24"/>
      <c r="F151" s="24"/>
      <c r="I151" s="23"/>
      <c r="J151" s="23"/>
    </row>
    <row r="152" spans="5:10">
      <c r="E152" s="24"/>
      <c r="F152" s="24"/>
      <c r="I152" s="23"/>
      <c r="J152" s="23"/>
    </row>
    <row r="153" spans="5:10">
      <c r="E153" s="24"/>
      <c r="F153" s="24"/>
      <c r="I153" s="23"/>
      <c r="J153" s="23"/>
    </row>
    <row r="154" spans="5:10">
      <c r="E154" s="24"/>
      <c r="F154" s="24"/>
      <c r="I154" s="23"/>
      <c r="J154" s="23"/>
    </row>
    <row r="155" spans="5:10">
      <c r="E155" s="24"/>
      <c r="F155" s="24"/>
      <c r="I155" s="23"/>
      <c r="J155" s="23"/>
    </row>
    <row r="156" spans="5:10">
      <c r="E156" s="24"/>
      <c r="F156" s="24"/>
      <c r="I156" s="23"/>
      <c r="J156" s="23"/>
    </row>
    <row r="157" spans="5:10">
      <c r="E157" s="24"/>
      <c r="F157" s="24"/>
      <c r="I157" s="23"/>
      <c r="J157" s="23"/>
    </row>
    <row r="158" spans="5:10">
      <c r="E158" s="24"/>
      <c r="F158" s="24"/>
      <c r="I158" s="23"/>
      <c r="J158" s="23"/>
    </row>
    <row r="159" spans="5:10">
      <c r="E159" s="24"/>
      <c r="F159" s="24"/>
      <c r="I159" s="23"/>
      <c r="J159" s="23"/>
    </row>
    <row r="160" spans="5:10">
      <c r="E160" s="24"/>
      <c r="F160" s="24"/>
      <c r="I160" s="23"/>
      <c r="J160" s="23"/>
    </row>
    <row r="161" spans="5:10">
      <c r="E161" s="24"/>
      <c r="F161" s="24"/>
      <c r="I161" s="23"/>
      <c r="J161" s="23"/>
    </row>
    <row r="162" spans="5:10">
      <c r="E162" s="24"/>
      <c r="F162" s="24"/>
      <c r="I162" s="23"/>
      <c r="J162" s="23"/>
    </row>
    <row r="163" spans="5:10">
      <c r="E163" s="24"/>
      <c r="F163" s="24"/>
      <c r="I163" s="23"/>
      <c r="J163" s="23"/>
    </row>
    <row r="164" spans="5:10">
      <c r="E164" s="24"/>
      <c r="F164" s="24"/>
      <c r="I164" s="23"/>
      <c r="J164" s="23"/>
    </row>
    <row r="165" spans="5:10">
      <c r="E165" s="24"/>
      <c r="F165" s="24"/>
      <c r="I165" s="23"/>
      <c r="J165" s="23"/>
    </row>
    <row r="166" spans="5:10">
      <c r="E166" s="24"/>
      <c r="F166" s="24"/>
      <c r="I166" s="23"/>
      <c r="J166" s="23"/>
    </row>
    <row r="167" spans="5:10">
      <c r="E167" s="24"/>
      <c r="F167" s="24"/>
      <c r="I167" s="23"/>
      <c r="J167" s="23"/>
    </row>
    <row r="168" spans="5:10">
      <c r="E168" s="24"/>
      <c r="F168" s="24"/>
      <c r="I168" s="23"/>
      <c r="J168" s="23"/>
    </row>
    <row r="169" spans="5:10">
      <c r="E169" s="24"/>
      <c r="F169" s="24"/>
      <c r="I169" s="23"/>
      <c r="J169" s="23"/>
    </row>
    <row r="170" spans="5:10">
      <c r="E170" s="24"/>
      <c r="F170" s="24"/>
      <c r="I170" s="23"/>
      <c r="J170" s="23"/>
    </row>
    <row r="171" spans="5:10">
      <c r="E171" s="24"/>
      <c r="F171" s="24"/>
      <c r="I171" s="23"/>
      <c r="J171" s="23"/>
    </row>
    <row r="172" spans="5:10">
      <c r="E172" s="24"/>
      <c r="F172" s="24"/>
      <c r="I172" s="23"/>
      <c r="J172" s="23"/>
    </row>
    <row r="173" spans="5:10">
      <c r="E173" s="24"/>
      <c r="F173" s="24"/>
      <c r="I173" s="23"/>
      <c r="J173" s="23"/>
    </row>
    <row r="174" spans="5:10">
      <c r="E174" s="24"/>
      <c r="F174" s="24"/>
      <c r="I174" s="23"/>
      <c r="J174" s="23"/>
    </row>
    <row r="175" spans="5:10">
      <c r="E175" s="24"/>
      <c r="F175" s="24"/>
      <c r="I175" s="23"/>
      <c r="J175" s="23"/>
    </row>
    <row r="176" spans="5:10">
      <c r="E176" s="24"/>
      <c r="F176" s="24"/>
      <c r="I176" s="23"/>
      <c r="J176" s="23"/>
    </row>
    <row r="177" spans="5:10">
      <c r="E177" s="24"/>
      <c r="F177" s="24"/>
      <c r="I177" s="23"/>
      <c r="J177" s="23"/>
    </row>
    <row r="178" spans="5:10">
      <c r="E178" s="24"/>
      <c r="F178" s="24"/>
      <c r="I178" s="23"/>
      <c r="J178" s="23"/>
    </row>
    <row r="179" spans="5:10">
      <c r="E179" s="24"/>
      <c r="F179" s="24"/>
      <c r="I179" s="23"/>
      <c r="J179" s="23"/>
    </row>
    <row r="180" spans="5:10">
      <c r="E180" s="24"/>
      <c r="F180" s="24"/>
      <c r="I180" s="23"/>
      <c r="J180" s="23"/>
    </row>
    <row r="181" spans="5:10">
      <c r="E181" s="24"/>
      <c r="F181" s="24"/>
      <c r="I181" s="23"/>
      <c r="J181" s="23"/>
    </row>
    <row r="182" spans="5:10">
      <c r="E182" s="24"/>
      <c r="F182" s="24"/>
      <c r="I182" s="23"/>
      <c r="J182" s="23"/>
    </row>
    <row r="183" spans="5:10">
      <c r="E183" s="24"/>
      <c r="F183" s="24"/>
      <c r="I183" s="23"/>
      <c r="J183" s="23"/>
    </row>
    <row r="184" spans="5:10">
      <c r="E184" s="24"/>
      <c r="F184" s="24"/>
      <c r="I184" s="23"/>
      <c r="J184" s="23"/>
    </row>
    <row r="185" spans="5:10">
      <c r="E185" s="24"/>
      <c r="F185" s="24"/>
      <c r="I185" s="23"/>
      <c r="J185" s="23"/>
    </row>
    <row r="186" spans="5:10">
      <c r="E186" s="24"/>
      <c r="F186" s="24"/>
      <c r="I186" s="23"/>
      <c r="J186" s="23"/>
    </row>
    <row r="187" spans="5:10">
      <c r="E187" s="24"/>
      <c r="F187" s="24"/>
      <c r="I187" s="23"/>
      <c r="J187" s="23"/>
    </row>
    <row r="188" spans="5:10">
      <c r="E188" s="24"/>
      <c r="F188" s="24"/>
      <c r="I188" s="23"/>
      <c r="J188" s="23"/>
    </row>
    <row r="189" spans="5:10">
      <c r="E189" s="24"/>
      <c r="F189" s="24"/>
      <c r="I189" s="23"/>
      <c r="J189" s="23"/>
    </row>
    <row r="190" spans="5:10">
      <c r="E190" s="24"/>
      <c r="F190" s="24"/>
      <c r="I190" s="23"/>
      <c r="J190" s="23"/>
    </row>
    <row r="191" spans="5:10">
      <c r="E191" s="24"/>
      <c r="F191" s="24"/>
      <c r="I191" s="23"/>
      <c r="J191" s="23"/>
    </row>
    <row r="192" spans="5:10">
      <c r="E192" s="24"/>
      <c r="F192" s="24"/>
      <c r="I192" s="23"/>
      <c r="J192" s="23"/>
    </row>
    <row r="193" spans="5:10">
      <c r="E193" s="24"/>
      <c r="F193" s="24"/>
      <c r="I193" s="23"/>
      <c r="J193" s="23"/>
    </row>
    <row r="194" spans="5:10">
      <c r="E194" s="24"/>
      <c r="F194" s="24"/>
      <c r="I194" s="23"/>
      <c r="J194" s="23"/>
    </row>
    <row r="195" spans="5:10">
      <c r="E195" s="24"/>
      <c r="F195" s="24"/>
      <c r="I195" s="23"/>
      <c r="J195" s="23"/>
    </row>
    <row r="196" spans="5:10">
      <c r="E196" s="24"/>
      <c r="F196" s="24"/>
      <c r="I196" s="23"/>
      <c r="J196" s="23"/>
    </row>
    <row r="197" spans="5:10">
      <c r="E197" s="24"/>
      <c r="F197" s="24"/>
      <c r="I197" s="23"/>
      <c r="J197" s="23"/>
    </row>
    <row r="198" spans="5:10">
      <c r="E198" s="24"/>
      <c r="F198" s="24"/>
      <c r="I198" s="23"/>
      <c r="J198" s="23"/>
    </row>
    <row r="199" spans="5:10">
      <c r="E199" s="24"/>
      <c r="F199" s="24"/>
      <c r="I199" s="23"/>
      <c r="J199" s="23"/>
    </row>
    <row r="200" spans="5:10">
      <c r="E200" s="24"/>
      <c r="F200" s="24"/>
      <c r="I200" s="23"/>
      <c r="J200" s="23"/>
    </row>
  </sheetData>
  <mergeCells count="3">
    <mergeCell ref="A1:N1"/>
    <mergeCell ref="A2:N2"/>
    <mergeCell ref="A20:N20"/>
  </mergeCells>
  <conditionalFormatting sqref="E5:E17">
    <cfRule type="expression" dxfId="133" priority="24">
      <formula>E5="P0"</formula>
    </cfRule>
    <cfRule type="expression" dxfId="132" priority="25">
      <formula>E5="P1"</formula>
    </cfRule>
    <cfRule type="expression" dxfId="131" priority="26">
      <formula>E5="P2"</formula>
    </cfRule>
  </conditionalFormatting>
  <conditionalFormatting sqref="E5:E200">
    <cfRule type="cellIs" dxfId="130" priority="27" operator="equal">
      <formula>"P0"</formula>
    </cfRule>
  </conditionalFormatting>
  <conditionalFormatting sqref="F5:F17">
    <cfRule type="expression" dxfId="129" priority="11">
      <formula>F5="XONG"</formula>
    </cfRule>
    <cfRule type="expression" dxfId="128" priority="12">
      <formula>F5="ĐÃ PASS"</formula>
    </cfRule>
    <cfRule type="expression" dxfId="127" priority="13">
      <formula>F5="PASS"</formula>
    </cfRule>
    <cfRule type="expression" dxfId="126" priority="14">
      <formula>F5="ĐÃ GIẢI QUYẾT"</formula>
    </cfRule>
    <cfRule type="expression" dxfId="125" priority="15">
      <formula>F5="ĐANG LÀM"</formula>
    </cfRule>
    <cfRule type="expression" dxfId="124" priority="16">
      <formula>F5="TÌM THẤY / CHỜ CHẠY LẠI"</formula>
    </cfRule>
    <cfRule type="expression" dxfId="123" priority="17">
      <formula>F5="TÌM THẤY"</formula>
    </cfRule>
    <cfRule type="expression" dxfId="122" priority="18">
      <formula>F5="CHỜ"</formula>
    </cfRule>
    <cfRule type="expression" dxfId="121" priority="19">
      <formula>F5="CHỜ CHẠY"</formula>
    </cfRule>
    <cfRule type="expression" dxfId="120" priority="20">
      <formula>F5="MỞ"</formula>
    </cfRule>
    <cfRule type="expression" dxfId="119" priority="21">
      <formula>F5="BỊ CHẶN"</formula>
    </cfRule>
    <cfRule type="expression" dxfId="118" priority="22">
      <formula>F5="CHƯA PASS"</formula>
    </cfRule>
    <cfRule type="expression" dxfId="117" priority="23">
      <formula>F5="TẠM HOÃN"</formula>
    </cfRule>
  </conditionalFormatting>
  <conditionalFormatting sqref="F5:F200">
    <cfRule type="cellIs" dxfId="116" priority="28" operator="equal">
      <formula>"XONG"</formula>
    </cfRule>
    <cfRule type="cellIs" dxfId="115" priority="29" operator="equal">
      <formula>"PASS"</formula>
    </cfRule>
    <cfRule type="cellIs" dxfId="114" priority="30" operator="equal">
      <formula>"ĐÃ PASS"</formula>
    </cfRule>
    <cfRule type="cellIs" dxfId="113" priority="31" operator="equal">
      <formula>"ĐÃ GIẢI QUYẾT"</formula>
    </cfRule>
    <cfRule type="cellIs" dxfId="112" priority="32" operator="equal">
      <formula>"ĐANG LÀM"</formula>
    </cfRule>
    <cfRule type="cellIs" dxfId="111" priority="33" operator="equal">
      <formula>"BỊ CHẶN"</formula>
    </cfRule>
    <cfRule type="cellIs" dxfId="110" priority="34" operator="equal">
      <formula>"FAIL"</formula>
    </cfRule>
    <cfRule type="cellIs" dxfId="109" priority="35" operator="equal">
      <formula>"CHỜ"</formula>
    </cfRule>
    <cfRule type="cellIs" dxfId="108" priority="36" operator="equal">
      <formula>"CHƯA PASS"</formula>
    </cfRule>
    <cfRule type="cellIs" dxfId="107" priority="37" operator="equal">
      <formula>"CHỜ CHẠY"</formula>
    </cfRule>
    <cfRule type="cellIs" dxfId="106" priority="38" operator="equal">
      <formula>"MỞ"</formula>
    </cfRule>
    <cfRule type="cellIs" dxfId="105" priority="39" operator="equal">
      <formula>"TÌM THẤY / CHỜ CHẠY LẠI"</formula>
    </cfRule>
    <cfRule type="cellIs" dxfId="104" priority="40" operator="equal">
      <formula>"PASS LỊCH SỬ"</formula>
    </cfRule>
    <cfRule type="cellIs" dxfId="103" priority="41" operator="equal">
      <formula>"TẠM HOÃN"</formula>
    </cfRule>
    <cfRule type="cellIs" dxfId="102" priority="42" operator="equal">
      <formula>"CHƯA LÀM"</formula>
    </cfRule>
  </conditionalFormatting>
  <dataValidations count="2">
    <dataValidation type="list" sqref="E5:E200" xr:uid="{00000000-0002-0000-0400-000000000000}">
      <formula1>"P0,P1,P2,P3"</formula1>
    </dataValidation>
    <dataValidation type="list" sqref="F5:F200" xr:uid="{00000000-0002-0000-0400-000001000000}">
      <formula1>"CHƯA LÀM,CHỜ,ĐANG LÀM,BỊ CHẶN,XONG,TẠM HOÃN"</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4404A"/>
  </sheetPr>
  <dimension ref="A1:J34"/>
  <sheetViews>
    <sheetView showGridLines="0" workbookViewId="0">
      <pane xSplit="1" ySplit="5" topLeftCell="B6" activePane="bottomRight" state="frozen"/>
      <selection pane="topRight"/>
      <selection pane="bottomLeft"/>
      <selection pane="bottomRight" activeCell="B6" sqref="B6"/>
    </sheetView>
  </sheetViews>
  <sheetFormatPr defaultRowHeight="13.8"/>
  <cols>
    <col min="1" max="1" width="13.69921875" customWidth="1"/>
    <col min="2" max="2" width="30.59765625" customWidth="1"/>
    <col min="3" max="3" width="43.69921875" customWidth="1"/>
    <col min="4" max="4" width="23.69921875" customWidth="1"/>
    <col min="5" max="5" width="25" customWidth="1"/>
    <col min="6" max="6" width="28.69921875" customWidth="1"/>
    <col min="7" max="7" width="25" customWidth="1"/>
    <col min="8" max="8" width="40.59765625" customWidth="1"/>
    <col min="9" max="9" width="23.69921875" customWidth="1"/>
    <col min="10" max="10" width="16.8984375" customWidth="1"/>
  </cols>
  <sheetData>
    <row r="1" spans="1:10" ht="46.05" customHeight="1">
      <c r="A1" s="130" t="s">
        <v>418</v>
      </c>
      <c r="B1" s="130"/>
      <c r="C1" s="130"/>
      <c r="D1" s="130"/>
      <c r="E1" s="130"/>
      <c r="F1" s="130"/>
      <c r="G1" s="130"/>
      <c r="H1" s="130"/>
      <c r="I1" s="130"/>
      <c r="J1" s="130"/>
    </row>
    <row r="2" spans="1:10" ht="40.049999999999997" customHeight="1">
      <c r="A2" s="38" t="s">
        <v>419</v>
      </c>
      <c r="B2" s="38"/>
      <c r="C2" s="38"/>
      <c r="D2" s="38"/>
      <c r="E2" s="38"/>
      <c r="F2" s="38"/>
      <c r="G2" s="38"/>
      <c r="H2" s="38"/>
      <c r="I2" s="38"/>
      <c r="J2" s="38"/>
    </row>
    <row r="3" spans="1:10" ht="12" customHeight="1">
      <c r="A3" s="25"/>
      <c r="B3" s="25"/>
      <c r="C3" s="25"/>
      <c r="D3" s="25"/>
      <c r="E3" s="25"/>
      <c r="F3" s="25"/>
      <c r="G3" s="25"/>
      <c r="H3" s="25"/>
      <c r="I3" s="25"/>
      <c r="J3" s="25"/>
    </row>
    <row r="4" spans="1:10" ht="31.95" customHeight="1">
      <c r="A4" s="127" t="s">
        <v>420</v>
      </c>
      <c r="B4" s="127"/>
      <c r="C4" s="127"/>
      <c r="D4" s="127"/>
      <c r="E4" s="127"/>
      <c r="F4" s="127"/>
      <c r="G4" s="127"/>
      <c r="H4" s="127"/>
      <c r="I4" s="127"/>
      <c r="J4" s="127"/>
    </row>
    <row r="5" spans="1:10" ht="34.049999999999997" customHeight="1">
      <c r="A5" s="6" t="s">
        <v>421</v>
      </c>
      <c r="B5" s="6" t="s">
        <v>422</v>
      </c>
      <c r="C5" s="6" t="s">
        <v>423</v>
      </c>
      <c r="D5" s="6" t="s">
        <v>69</v>
      </c>
      <c r="E5" s="6" t="s">
        <v>370</v>
      </c>
      <c r="F5" s="6" t="s">
        <v>371</v>
      </c>
      <c r="G5" s="6" t="s">
        <v>424</v>
      </c>
      <c r="H5" s="6" t="s">
        <v>425</v>
      </c>
      <c r="I5" s="6" t="s">
        <v>426</v>
      </c>
      <c r="J5" s="6" t="s">
        <v>374</v>
      </c>
    </row>
    <row r="6" spans="1:10" ht="64.05" customHeight="1">
      <c r="A6" s="8" t="s">
        <v>427</v>
      </c>
      <c r="B6" s="8" t="s">
        <v>78</v>
      </c>
      <c r="C6" s="8" t="s">
        <v>428</v>
      </c>
      <c r="D6" s="15" t="s">
        <v>429</v>
      </c>
      <c r="E6" s="8" t="s">
        <v>379</v>
      </c>
      <c r="F6" s="8"/>
      <c r="G6" s="8" t="s">
        <v>80</v>
      </c>
      <c r="H6" s="8" t="s">
        <v>430</v>
      </c>
      <c r="I6" s="8"/>
      <c r="J6" s="21">
        <v>46292</v>
      </c>
    </row>
    <row r="7" spans="1:10" ht="64.05" customHeight="1">
      <c r="A7" s="7" t="s">
        <v>431</v>
      </c>
      <c r="B7" s="7" t="s">
        <v>432</v>
      </c>
      <c r="C7" s="7" t="s">
        <v>433</v>
      </c>
      <c r="D7" s="14" t="s">
        <v>434</v>
      </c>
      <c r="E7" s="7" t="s">
        <v>377</v>
      </c>
      <c r="F7" s="7"/>
      <c r="G7" s="7"/>
      <c r="H7" s="7" t="s">
        <v>435</v>
      </c>
      <c r="I7" s="7"/>
      <c r="J7" s="20">
        <v>46292</v>
      </c>
    </row>
    <row r="8" spans="1:10" ht="64.05" customHeight="1">
      <c r="A8" s="8" t="s">
        <v>436</v>
      </c>
      <c r="B8" s="8" t="s">
        <v>437</v>
      </c>
      <c r="C8" s="8" t="s">
        <v>438</v>
      </c>
      <c r="D8" s="15" t="s">
        <v>434</v>
      </c>
      <c r="E8" s="8" t="s">
        <v>377</v>
      </c>
      <c r="F8" s="8"/>
      <c r="G8" s="8"/>
      <c r="H8" s="8" t="s">
        <v>439</v>
      </c>
      <c r="I8" s="8"/>
      <c r="J8" s="21">
        <v>46292</v>
      </c>
    </row>
    <row r="9" spans="1:10" ht="64.05" customHeight="1">
      <c r="A9" s="7" t="s">
        <v>440</v>
      </c>
      <c r="B9" s="7" t="s">
        <v>441</v>
      </c>
      <c r="C9" s="7" t="s">
        <v>442</v>
      </c>
      <c r="D9" s="14" t="s">
        <v>393</v>
      </c>
      <c r="E9" s="7" t="s">
        <v>379</v>
      </c>
      <c r="F9" s="7"/>
      <c r="G9" s="7" t="s">
        <v>443</v>
      </c>
      <c r="H9" s="7" t="s">
        <v>444</v>
      </c>
      <c r="I9" s="7"/>
      <c r="J9" s="20">
        <v>46292</v>
      </c>
    </row>
    <row r="10" spans="1:10" ht="64.05" customHeight="1">
      <c r="A10" s="8" t="s">
        <v>445</v>
      </c>
      <c r="B10" s="8" t="s">
        <v>446</v>
      </c>
      <c r="C10" s="8" t="s">
        <v>447</v>
      </c>
      <c r="D10" s="15" t="s">
        <v>393</v>
      </c>
      <c r="E10" s="8" t="s">
        <v>379</v>
      </c>
      <c r="F10" s="8"/>
      <c r="G10" s="8" t="s">
        <v>89</v>
      </c>
      <c r="H10" s="8" t="s">
        <v>448</v>
      </c>
      <c r="I10" s="8"/>
      <c r="J10" s="21">
        <v>46292</v>
      </c>
    </row>
    <row r="11" spans="1:10" ht="64.05" customHeight="1">
      <c r="A11" s="7" t="s">
        <v>449</v>
      </c>
      <c r="B11" s="7" t="s">
        <v>90</v>
      </c>
      <c r="C11" s="7" t="s">
        <v>450</v>
      </c>
      <c r="D11" s="14" t="s">
        <v>393</v>
      </c>
      <c r="E11" s="7" t="s">
        <v>379</v>
      </c>
      <c r="F11" s="7"/>
      <c r="G11" s="7" t="s">
        <v>92</v>
      </c>
      <c r="H11" s="7" t="s">
        <v>451</v>
      </c>
      <c r="I11" s="7"/>
      <c r="J11" s="20">
        <v>46292</v>
      </c>
    </row>
    <row r="12" spans="1:10" ht="64.05" customHeight="1">
      <c r="A12" s="8" t="s">
        <v>452</v>
      </c>
      <c r="B12" s="8" t="s">
        <v>453</v>
      </c>
      <c r="C12" s="8" t="s">
        <v>454</v>
      </c>
      <c r="D12" s="15" t="s">
        <v>455</v>
      </c>
      <c r="E12" s="8" t="s">
        <v>412</v>
      </c>
      <c r="F12" s="8"/>
      <c r="G12" s="8"/>
      <c r="H12" s="8" t="s">
        <v>456</v>
      </c>
      <c r="I12" s="8" t="s">
        <v>457</v>
      </c>
      <c r="J12" s="21">
        <v>46289</v>
      </c>
    </row>
    <row r="13" spans="1:10" ht="64.05" customHeight="1">
      <c r="A13" s="7" t="s">
        <v>458</v>
      </c>
      <c r="B13" s="7" t="s">
        <v>459</v>
      </c>
      <c r="C13" s="7" t="s">
        <v>460</v>
      </c>
      <c r="D13" s="14" t="s">
        <v>455</v>
      </c>
      <c r="E13" s="7" t="s">
        <v>412</v>
      </c>
      <c r="F13" s="7"/>
      <c r="G13" s="7"/>
      <c r="H13" s="7" t="s">
        <v>461</v>
      </c>
      <c r="I13" s="7" t="s">
        <v>457</v>
      </c>
      <c r="J13" s="20">
        <v>46289</v>
      </c>
    </row>
    <row r="14" spans="1:10" ht="64.05" customHeight="1">
      <c r="A14" s="8" t="s">
        <v>462</v>
      </c>
      <c r="B14" s="8" t="s">
        <v>463</v>
      </c>
      <c r="C14" s="8" t="s">
        <v>464</v>
      </c>
      <c r="D14" s="15" t="s">
        <v>455</v>
      </c>
      <c r="E14" s="8" t="s">
        <v>377</v>
      </c>
      <c r="F14" s="8"/>
      <c r="G14" s="8"/>
      <c r="H14" s="8" t="s">
        <v>465</v>
      </c>
      <c r="I14" s="8" t="s">
        <v>466</v>
      </c>
      <c r="J14" s="21">
        <v>46291</v>
      </c>
    </row>
    <row r="15" spans="1:10" ht="30" customHeight="1">
      <c r="A15" s="1"/>
      <c r="B15" s="1"/>
      <c r="C15" s="1"/>
      <c r="D15" s="1"/>
      <c r="E15" s="1"/>
      <c r="F15" s="1"/>
      <c r="G15" s="1"/>
      <c r="H15" s="1"/>
      <c r="I15" s="1"/>
      <c r="J15" s="1"/>
    </row>
    <row r="16" spans="1:10" ht="30" customHeight="1">
      <c r="A16" s="1"/>
      <c r="B16" s="1"/>
      <c r="C16" s="1"/>
      <c r="D16" s="1"/>
      <c r="E16" s="1"/>
      <c r="F16" s="1"/>
      <c r="G16" s="1"/>
      <c r="H16" s="1"/>
      <c r="I16" s="1"/>
      <c r="J16" s="1"/>
    </row>
    <row r="17" spans="1:10" ht="31.95" customHeight="1">
      <c r="A17" s="127" t="s">
        <v>467</v>
      </c>
      <c r="B17" s="127"/>
      <c r="C17" s="127"/>
      <c r="D17" s="127"/>
      <c r="E17" s="127"/>
      <c r="F17" s="127"/>
      <c r="G17" s="127"/>
      <c r="H17" s="127"/>
      <c r="I17" s="127"/>
      <c r="J17" s="127"/>
    </row>
    <row r="18" spans="1:10" ht="34.049999999999997" customHeight="1">
      <c r="A18" s="6" t="s">
        <v>468</v>
      </c>
      <c r="B18" s="6" t="s">
        <v>469</v>
      </c>
      <c r="C18" s="6" t="s">
        <v>470</v>
      </c>
      <c r="D18" s="6" t="s">
        <v>471</v>
      </c>
      <c r="E18" s="6" t="s">
        <v>472</v>
      </c>
      <c r="F18" s="6" t="s">
        <v>473</v>
      </c>
      <c r="G18" s="6" t="s">
        <v>474</v>
      </c>
      <c r="H18" s="6" t="s">
        <v>69</v>
      </c>
      <c r="I18" s="6" t="s">
        <v>475</v>
      </c>
      <c r="J18" s="6"/>
    </row>
    <row r="19" spans="1:10" ht="64.05" customHeight="1">
      <c r="A19" s="7"/>
      <c r="B19" s="20"/>
      <c r="C19" s="7"/>
      <c r="D19" s="7"/>
      <c r="E19" s="7"/>
      <c r="F19" s="7"/>
      <c r="G19" s="7"/>
      <c r="H19" s="7"/>
      <c r="I19" s="7"/>
      <c r="J19" s="7"/>
    </row>
    <row r="20" spans="1:10" ht="64.05" customHeight="1">
      <c r="A20" s="8"/>
      <c r="B20" s="21"/>
      <c r="C20" s="8"/>
      <c r="D20" s="8"/>
      <c r="E20" s="8"/>
      <c r="F20" s="8"/>
      <c r="G20" s="8"/>
      <c r="H20" s="8"/>
      <c r="I20" s="8"/>
      <c r="J20" s="8"/>
    </row>
    <row r="21" spans="1:10" ht="64.05" customHeight="1">
      <c r="A21" s="7"/>
      <c r="B21" s="20"/>
      <c r="C21" s="7"/>
      <c r="D21" s="7"/>
      <c r="E21" s="7"/>
      <c r="F21" s="7"/>
      <c r="G21" s="7"/>
      <c r="H21" s="7"/>
      <c r="I21" s="7"/>
      <c r="J21" s="7"/>
    </row>
    <row r="22" spans="1:10" ht="64.05" customHeight="1">
      <c r="A22" s="8"/>
      <c r="B22" s="21"/>
      <c r="C22" s="8"/>
      <c r="D22" s="8"/>
      <c r="E22" s="8"/>
      <c r="F22" s="8"/>
      <c r="G22" s="8"/>
      <c r="H22" s="8"/>
      <c r="I22" s="8"/>
      <c r="J22" s="8"/>
    </row>
    <row r="23" spans="1:10" ht="64.05" customHeight="1">
      <c r="A23" s="7"/>
      <c r="B23" s="20"/>
      <c r="C23" s="7"/>
      <c r="D23" s="7"/>
      <c r="E23" s="7"/>
      <c r="F23" s="7"/>
      <c r="G23" s="7"/>
      <c r="H23" s="7"/>
      <c r="I23" s="7"/>
      <c r="J23" s="7"/>
    </row>
    <row r="24" spans="1:10" ht="30" customHeight="1">
      <c r="A24" s="1"/>
      <c r="B24" s="22"/>
      <c r="C24" s="1"/>
      <c r="D24" s="1"/>
      <c r="E24" s="1"/>
      <c r="F24" s="1"/>
      <c r="G24" s="1"/>
      <c r="H24" s="1"/>
      <c r="I24" s="1"/>
      <c r="J24" s="1"/>
    </row>
    <row r="25" spans="1:10" ht="30" customHeight="1">
      <c r="A25" s="1"/>
      <c r="B25" s="22"/>
      <c r="C25" s="1"/>
      <c r="D25" s="1"/>
      <c r="E25" s="1"/>
      <c r="F25" s="1"/>
      <c r="G25" s="1"/>
      <c r="H25" s="1"/>
      <c r="I25" s="1"/>
      <c r="J25" s="1"/>
    </row>
    <row r="26" spans="1:10" ht="31.95" customHeight="1">
      <c r="A26" s="127" t="s">
        <v>476</v>
      </c>
      <c r="B26" s="135"/>
      <c r="C26" s="127"/>
      <c r="D26" s="127"/>
      <c r="E26" s="127"/>
      <c r="F26" s="127"/>
      <c r="G26" s="127"/>
      <c r="H26" s="127"/>
      <c r="I26" s="127"/>
      <c r="J26" s="127"/>
    </row>
    <row r="27" spans="1:10" ht="34.049999999999997" customHeight="1">
      <c r="A27" s="6" t="s">
        <v>477</v>
      </c>
      <c r="B27" s="26" t="s">
        <v>469</v>
      </c>
      <c r="C27" s="6" t="s">
        <v>39</v>
      </c>
      <c r="D27" s="6" t="s">
        <v>156</v>
      </c>
      <c r="E27" s="6" t="s">
        <v>478</v>
      </c>
      <c r="F27" s="6" t="s">
        <v>318</v>
      </c>
      <c r="G27" s="6" t="s">
        <v>371</v>
      </c>
      <c r="H27" s="6" t="s">
        <v>479</v>
      </c>
      <c r="I27" s="6" t="s">
        <v>69</v>
      </c>
      <c r="J27" s="6" t="s">
        <v>480</v>
      </c>
    </row>
    <row r="28" spans="1:10" ht="64.05" customHeight="1">
      <c r="A28" s="8" t="s">
        <v>481</v>
      </c>
      <c r="B28" s="21">
        <v>46291</v>
      </c>
      <c r="C28" s="8" t="s">
        <v>377</v>
      </c>
      <c r="D28" s="8" t="s">
        <v>51</v>
      </c>
      <c r="E28" s="8" t="s">
        <v>482</v>
      </c>
      <c r="F28" s="8" t="s">
        <v>483</v>
      </c>
      <c r="G28" s="8"/>
      <c r="H28" s="21"/>
      <c r="I28" s="15" t="s">
        <v>380</v>
      </c>
      <c r="J28" s="8" t="s">
        <v>484</v>
      </c>
    </row>
    <row r="29" spans="1:10" ht="64.05" customHeight="1">
      <c r="A29" s="7" t="s">
        <v>485</v>
      </c>
      <c r="B29" s="20">
        <v>46291</v>
      </c>
      <c r="C29" s="7" t="s">
        <v>377</v>
      </c>
      <c r="D29" s="7" t="s">
        <v>199</v>
      </c>
      <c r="E29" s="7" t="s">
        <v>486</v>
      </c>
      <c r="F29" s="7" t="s">
        <v>487</v>
      </c>
      <c r="G29" s="7"/>
      <c r="H29" s="20"/>
      <c r="I29" s="14" t="s">
        <v>380</v>
      </c>
      <c r="J29" s="7" t="s">
        <v>488</v>
      </c>
    </row>
    <row r="30" spans="1:10" ht="64.05" customHeight="1">
      <c r="A30" s="8"/>
      <c r="B30" s="21"/>
      <c r="C30" s="8"/>
      <c r="D30" s="8"/>
      <c r="E30" s="8"/>
      <c r="F30" s="8"/>
      <c r="G30" s="8"/>
      <c r="H30" s="21"/>
      <c r="I30" s="15"/>
      <c r="J30" s="8"/>
    </row>
    <row r="31" spans="1:10" ht="64.05" customHeight="1">
      <c r="A31" s="7"/>
      <c r="B31" s="20"/>
      <c r="C31" s="7"/>
      <c r="D31" s="7"/>
      <c r="E31" s="7"/>
      <c r="F31" s="7"/>
      <c r="G31" s="7"/>
      <c r="H31" s="20"/>
      <c r="I31" s="14"/>
      <c r="J31" s="7"/>
    </row>
    <row r="32" spans="1:10" ht="64.05" customHeight="1">
      <c r="A32" s="8"/>
      <c r="B32" s="21"/>
      <c r="C32" s="8"/>
      <c r="D32" s="8"/>
      <c r="E32" s="8"/>
      <c r="F32" s="8"/>
      <c r="G32" s="8"/>
      <c r="H32" s="21"/>
      <c r="I32" s="15"/>
      <c r="J32" s="8"/>
    </row>
    <row r="33" spans="1:10" ht="64.05" customHeight="1">
      <c r="A33" s="7"/>
      <c r="B33" s="20"/>
      <c r="C33" s="7"/>
      <c r="D33" s="7"/>
      <c r="E33" s="7"/>
      <c r="F33" s="7"/>
      <c r="G33" s="7"/>
      <c r="H33" s="20"/>
      <c r="I33" s="14"/>
      <c r="J33" s="7"/>
    </row>
    <row r="34" spans="1:10" ht="64.05" customHeight="1">
      <c r="A34" s="8"/>
      <c r="B34" s="21"/>
      <c r="C34" s="8"/>
      <c r="D34" s="8"/>
      <c r="E34" s="8"/>
      <c r="F34" s="8"/>
      <c r="G34" s="8"/>
      <c r="H34" s="21"/>
      <c r="I34" s="15"/>
      <c r="J34" s="8"/>
    </row>
  </sheetData>
  <mergeCells count="5">
    <mergeCell ref="A1:J1"/>
    <mergeCell ref="A2:J2"/>
    <mergeCell ref="A4:J4"/>
    <mergeCell ref="A17:J17"/>
    <mergeCell ref="A26:J26"/>
  </mergeCells>
  <conditionalFormatting sqref="D6:D14">
    <cfRule type="cellIs" dxfId="101" priority="63" operator="equal">
      <formula>"BỊ CHẶN"</formula>
    </cfRule>
    <cfRule type="cellIs" dxfId="100" priority="70" operator="equal">
      <formula>"PASS LỊCH SỬ"</formula>
    </cfRule>
    <cfRule type="cellIs" dxfId="99" priority="69" operator="equal">
      <formula>"TÌM THẤY / CHỜ CHẠY LẠI"</formula>
    </cfRule>
    <cfRule type="cellIs" dxfId="98" priority="68" operator="equal">
      <formula>"MỞ"</formula>
    </cfRule>
    <cfRule type="cellIs" dxfId="97" priority="67" operator="equal">
      <formula>"CHỜ CHẠY"</formula>
    </cfRule>
    <cfRule type="cellIs" dxfId="96" priority="66" operator="equal">
      <formula>"CHƯA PASS"</formula>
    </cfRule>
    <cfRule type="cellIs" dxfId="95" priority="65" operator="equal">
      <formula>"CHỜ"</formula>
    </cfRule>
    <cfRule type="cellIs" dxfId="94" priority="62" operator="equal">
      <formula>"ĐANG LÀM"</formula>
    </cfRule>
    <cfRule type="cellIs" dxfId="93" priority="61" operator="equal">
      <formula>"ĐÃ GIẢI QUYẾT"</formula>
    </cfRule>
    <cfRule type="cellIs" dxfId="92" priority="60" operator="equal">
      <formula>"ĐÃ PASS"</formula>
    </cfRule>
    <cfRule type="cellIs" dxfId="91" priority="59" operator="equal">
      <formula>"PASS"</formula>
    </cfRule>
    <cfRule type="cellIs" dxfId="90" priority="58" operator="equal">
      <formula>"XONG"</formula>
    </cfRule>
    <cfRule type="cellIs" dxfId="89" priority="64" operator="equal">
      <formula>"FAIL"</formula>
    </cfRule>
    <cfRule type="cellIs" dxfId="88" priority="71" operator="equal">
      <formula>"TẠM HOÃN"</formula>
    </cfRule>
    <cfRule type="cellIs" dxfId="87" priority="72" operator="equal">
      <formula>"CHƯA LÀM"</formula>
    </cfRule>
  </conditionalFormatting>
  <conditionalFormatting sqref="D6:D100">
    <cfRule type="expression" dxfId="86" priority="5">
      <formula>$D6="MỞ"</formula>
    </cfRule>
    <cfRule type="expression" dxfId="85" priority="6">
      <formula>$D6="BỊ CHẶN"</formula>
    </cfRule>
    <cfRule type="expression" dxfId="84" priority="7">
      <formula>$D6="TÌM THẤY / CHỜ CHẠY LẠI"</formula>
    </cfRule>
    <cfRule type="expression" dxfId="83" priority="8">
      <formula>$D6="ĐÃ GIẢI QUYẾT"</formula>
    </cfRule>
    <cfRule type="expression" dxfId="82" priority="9">
      <formula>$D6="TẠM HOÃN"</formula>
    </cfRule>
  </conditionalFormatting>
  <conditionalFormatting sqref="E6:E14">
    <cfRule type="expression" dxfId="81" priority="29">
      <formula>E6="P0"</formula>
    </cfRule>
    <cfRule type="expression" dxfId="80" priority="30">
      <formula>E6="P1"</formula>
    </cfRule>
    <cfRule type="expression" dxfId="79" priority="31">
      <formula>E6="P2"</formula>
    </cfRule>
  </conditionalFormatting>
  <conditionalFormatting sqref="E6:E100">
    <cfRule type="expression" dxfId="78" priority="1">
      <formula>$E6="P0"</formula>
    </cfRule>
    <cfRule type="expression" dxfId="77" priority="2">
      <formula>$E6="P1"</formula>
    </cfRule>
    <cfRule type="expression" dxfId="76" priority="3">
      <formula>$E6="P2"</formula>
    </cfRule>
    <cfRule type="expression" dxfId="75" priority="4">
      <formula>$E6="P3"</formula>
    </cfRule>
  </conditionalFormatting>
  <conditionalFormatting sqref="H19:H24">
    <cfRule type="expression" dxfId="74" priority="34">
      <formula>H19="PASS"</formula>
    </cfRule>
    <cfRule type="expression" dxfId="73" priority="35">
      <formula>H19="ĐÃ GIẢI QUYẾT"</formula>
    </cfRule>
    <cfRule type="expression" dxfId="72" priority="36">
      <formula>H19="ĐANG LÀM"</formula>
    </cfRule>
    <cfRule type="expression" dxfId="71" priority="37">
      <formula>H19="TÌM THẤY / CHỜ CHẠY LẠI"</formula>
    </cfRule>
    <cfRule type="expression" dxfId="70" priority="38">
      <formula>H19="TÌM THẤY"</formula>
    </cfRule>
    <cfRule type="expression" dxfId="69" priority="39">
      <formula>H19="CHỜ"</formula>
    </cfRule>
    <cfRule type="expression" dxfId="68" priority="40">
      <formula>H19="CHỜ CHẠY"</formula>
    </cfRule>
    <cfRule type="expression" dxfId="67" priority="41">
      <formula>H19="MỞ"</formula>
    </cfRule>
    <cfRule type="expression" dxfId="66" priority="43">
      <formula>H19="CHƯA PASS"</formula>
    </cfRule>
    <cfRule type="expression" dxfId="65" priority="44">
      <formula>H19="TẠM HOÃN"</formula>
    </cfRule>
    <cfRule type="expression" dxfId="64" priority="42">
      <formula>H19="BỊ CHẶN"</formula>
    </cfRule>
    <cfRule type="expression" dxfId="63" priority="32">
      <formula>H19="XONG"</formula>
    </cfRule>
    <cfRule type="expression" dxfId="62" priority="33">
      <formula>H19="ĐÃ PASS"</formula>
    </cfRule>
  </conditionalFormatting>
  <conditionalFormatting sqref="I28:I29">
    <cfRule type="expression" dxfId="61" priority="54">
      <formula>I28="MỞ"</formula>
    </cfRule>
    <cfRule type="expression" dxfId="60" priority="55">
      <formula>I28="BỊ CHẶN"</formula>
    </cfRule>
    <cfRule type="expression" dxfId="59" priority="56">
      <formula>I28="CHƯA PASS"</formula>
    </cfRule>
    <cfRule type="expression" dxfId="58" priority="57">
      <formula>I28="TẠM HOÃN"</formula>
    </cfRule>
    <cfRule type="expression" dxfId="57" priority="50">
      <formula>I28="TÌM THẤY / CHỜ CHẠY LẠI"</formula>
    </cfRule>
    <cfRule type="expression" dxfId="56" priority="49">
      <formula>I28="ĐANG LÀM"</formula>
    </cfRule>
    <cfRule type="expression" dxfId="55" priority="51">
      <formula>I28="TÌM THẤY"</formula>
    </cfRule>
    <cfRule type="expression" dxfId="54" priority="48">
      <formula>I28="ĐÃ GIẢI QUYẾT"</formula>
    </cfRule>
    <cfRule type="expression" dxfId="53" priority="47">
      <formula>I28="PASS"</formula>
    </cfRule>
    <cfRule type="expression" dxfId="52" priority="46">
      <formula>I28="ĐÃ PASS"</formula>
    </cfRule>
    <cfRule type="expression" dxfId="51" priority="45">
      <formula>I28="XONG"</formula>
    </cfRule>
    <cfRule type="expression" dxfId="50" priority="52">
      <formula>I28="CHỜ"</formula>
    </cfRule>
    <cfRule type="expression" dxfId="49" priority="53">
      <formula>I28="CHỜ CHẠY"</formula>
    </cfRule>
  </conditionalFormatting>
  <conditionalFormatting sqref="I28:I34">
    <cfRule type="cellIs" dxfId="48" priority="73" operator="equal">
      <formula>"XONG"</formula>
    </cfRule>
    <cfRule type="cellIs" dxfId="47" priority="74" operator="equal">
      <formula>"PASS"</formula>
    </cfRule>
    <cfRule type="cellIs" dxfId="46" priority="75" operator="equal">
      <formula>"ĐÃ PASS"</formula>
    </cfRule>
    <cfRule type="cellIs" dxfId="45" priority="76" operator="equal">
      <formula>"ĐÃ GIẢI QUYẾT"</formula>
    </cfRule>
    <cfRule type="cellIs" dxfId="44" priority="77" operator="equal">
      <formula>"ĐANG LÀM"</formula>
    </cfRule>
    <cfRule type="cellIs" dxfId="43" priority="78" operator="equal">
      <formula>"BỊ CHẶN"</formula>
    </cfRule>
    <cfRule type="cellIs" dxfId="42" priority="79" operator="equal">
      <formula>"FAIL"</formula>
    </cfRule>
    <cfRule type="cellIs" dxfId="41" priority="80" operator="equal">
      <formula>"CHỜ"</formula>
    </cfRule>
    <cfRule type="cellIs" dxfId="40" priority="81" operator="equal">
      <formula>"CHƯA PASS"</formula>
    </cfRule>
    <cfRule type="cellIs" dxfId="39" priority="82" operator="equal">
      <formula>"CHỜ CHẠY"</formula>
    </cfRule>
    <cfRule type="cellIs" dxfId="38" priority="83" operator="equal">
      <formula>"MỞ"</formula>
    </cfRule>
    <cfRule type="cellIs" dxfId="37" priority="84" operator="equal">
      <formula>"TÌM THẤY / CHỜ CHẠY LẠI"</formula>
    </cfRule>
    <cfRule type="cellIs" dxfId="36" priority="85" operator="equal">
      <formula>"PASS LỊCH SỬ"</formula>
    </cfRule>
    <cfRule type="cellIs" dxfId="35" priority="86" operator="equal">
      <formula>"TẠM HOÃN"</formula>
    </cfRule>
    <cfRule type="cellIs" dxfId="34" priority="87" operator="equal">
      <formula>"CHƯA LÀM"</formula>
    </cfRule>
  </conditionalFormatting>
  <conditionalFormatting sqref="I28:I100">
    <cfRule type="expression" dxfId="33" priority="10">
      <formula>$I28="XONG"</formula>
    </cfRule>
    <cfRule type="expression" dxfId="32" priority="15">
      <formula>$I28="TẠM HOÃN"</formula>
    </cfRule>
    <cfRule type="expression" dxfId="31" priority="14">
      <formula>$I28="CHƯA LÀM"</formula>
    </cfRule>
    <cfRule type="expression" dxfId="30" priority="13">
      <formula>$I28="BỊ CHẶN"</formula>
    </cfRule>
    <cfRule type="expression" dxfId="29" priority="12">
      <formula>$I28="CHỜ"</formula>
    </cfRule>
    <cfRule type="expression" dxfId="28" priority="11">
      <formula>$I28="ĐANG LÀM"</formula>
    </cfRule>
  </conditionalFormatting>
  <dataValidations count="3">
    <dataValidation type="list" sqref="D6:D100" xr:uid="{00000000-0002-0000-0500-000000000000}">
      <formula1>"MỞ,BỊ CHẶN,TÌM THẤY / CHỜ CHẠY LẠI,ĐÃ GIẢI QUYẾT,TẠM HOÃN"</formula1>
    </dataValidation>
    <dataValidation type="list" sqref="H19:H100" xr:uid="{00000000-0002-0000-0500-000001000000}">
      <formula1>"NHÁP,ĐANG XEM,ĐÃ DUYỆT,TỪ CHỐI,ĐÃ TRIỂN KHAI,HỦY"</formula1>
    </dataValidation>
    <dataValidation type="list" sqref="I28:I100" xr:uid="{00000000-0002-0000-0500-000002000000}">
      <formula1>"MỞ,ĐANG LÀM,BỊ CHẶN,XONG,HỦY"</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27398"/>
  </sheetPr>
  <dimension ref="A1:H200"/>
  <sheetViews>
    <sheetView showGridLines="0" workbookViewId="0">
      <pane xSplit="2" ySplit="4" topLeftCell="C5" activePane="bottomRight" state="frozen"/>
      <selection pane="topRight"/>
      <selection pane="bottomLeft"/>
      <selection pane="bottomRight" activeCell="C5" sqref="C5"/>
    </sheetView>
  </sheetViews>
  <sheetFormatPr defaultRowHeight="13.8"/>
  <cols>
    <col min="1" max="1" width="10" customWidth="1"/>
    <col min="2" max="2" width="20.59765625" customWidth="1"/>
    <col min="3" max="3" width="36.8984375" customWidth="1"/>
    <col min="4" max="4" width="47.5" customWidth="1"/>
    <col min="5" max="5" width="19.3984375" customWidth="1"/>
    <col min="6" max="6" width="15" customWidth="1"/>
    <col min="7" max="7" width="21.19921875" customWidth="1"/>
    <col min="8" max="8" width="51.19921875" customWidth="1"/>
  </cols>
  <sheetData>
    <row r="1" spans="1:8" ht="46.05" customHeight="1">
      <c r="A1" s="130" t="s">
        <v>489</v>
      </c>
      <c r="B1" s="130"/>
      <c r="C1" s="130"/>
      <c r="D1" s="130"/>
      <c r="E1" s="130"/>
      <c r="F1" s="130"/>
      <c r="G1" s="130"/>
      <c r="H1" s="130"/>
    </row>
    <row r="2" spans="1:8" ht="40.049999999999997" customHeight="1">
      <c r="A2" s="38" t="s">
        <v>490</v>
      </c>
      <c r="B2" s="38"/>
      <c r="C2" s="38"/>
      <c r="D2" s="38"/>
      <c r="E2" s="38"/>
      <c r="F2" s="38"/>
      <c r="G2" s="38"/>
      <c r="H2" s="38"/>
    </row>
    <row r="3" spans="1:8" ht="12" customHeight="1">
      <c r="A3" s="27"/>
      <c r="B3" s="27"/>
      <c r="C3" s="27"/>
      <c r="D3" s="27"/>
      <c r="E3" s="27"/>
      <c r="F3" s="27"/>
      <c r="G3" s="27"/>
      <c r="H3" s="27"/>
    </row>
    <row r="4" spans="1:8" ht="34.049999999999997" customHeight="1">
      <c r="A4" s="6" t="s">
        <v>421</v>
      </c>
      <c r="B4" s="6" t="s">
        <v>491</v>
      </c>
      <c r="C4" s="6" t="s">
        <v>492</v>
      </c>
      <c r="D4" s="6" t="s">
        <v>493</v>
      </c>
      <c r="E4" s="6" t="s">
        <v>69</v>
      </c>
      <c r="F4" s="6" t="s">
        <v>469</v>
      </c>
      <c r="G4" s="6" t="s">
        <v>494</v>
      </c>
      <c r="H4" s="6" t="s">
        <v>495</v>
      </c>
    </row>
    <row r="5" spans="1:8" ht="57" customHeight="1">
      <c r="A5" s="7" t="s">
        <v>496</v>
      </c>
      <c r="B5" s="7" t="s">
        <v>51</v>
      </c>
      <c r="C5" s="7" t="s">
        <v>497</v>
      </c>
      <c r="D5" s="7" t="s">
        <v>498</v>
      </c>
      <c r="E5" s="14" t="s">
        <v>499</v>
      </c>
      <c r="F5" s="20">
        <v>46291</v>
      </c>
      <c r="G5" s="7" t="s">
        <v>500</v>
      </c>
      <c r="H5" s="7" t="s">
        <v>501</v>
      </c>
    </row>
    <row r="6" spans="1:8" ht="57" customHeight="1">
      <c r="A6" s="8" t="s">
        <v>502</v>
      </c>
      <c r="B6" s="8" t="s">
        <v>51</v>
      </c>
      <c r="C6" s="8" t="s">
        <v>503</v>
      </c>
      <c r="D6" s="8" t="s">
        <v>504</v>
      </c>
      <c r="E6" s="15" t="s">
        <v>505</v>
      </c>
      <c r="F6" s="21">
        <v>46280</v>
      </c>
      <c r="G6" s="8" t="s">
        <v>506</v>
      </c>
      <c r="H6" s="8" t="s">
        <v>507</v>
      </c>
    </row>
    <row r="7" spans="1:8" ht="57" customHeight="1">
      <c r="A7" s="7" t="s">
        <v>508</v>
      </c>
      <c r="B7" s="7" t="s">
        <v>51</v>
      </c>
      <c r="C7" s="7" t="s">
        <v>509</v>
      </c>
      <c r="D7" s="7" t="s">
        <v>510</v>
      </c>
      <c r="E7" s="14" t="s">
        <v>505</v>
      </c>
      <c r="F7" s="20">
        <v>46280</v>
      </c>
      <c r="G7" s="7" t="s">
        <v>506</v>
      </c>
      <c r="H7" s="7" t="s">
        <v>511</v>
      </c>
    </row>
    <row r="8" spans="1:8" ht="57" customHeight="1">
      <c r="A8" s="8" t="s">
        <v>512</v>
      </c>
      <c r="B8" s="8" t="s">
        <v>51</v>
      </c>
      <c r="C8" s="8" t="s">
        <v>513</v>
      </c>
      <c r="D8" s="8" t="s">
        <v>514</v>
      </c>
      <c r="E8" s="15" t="s">
        <v>515</v>
      </c>
      <c r="F8" s="21">
        <v>46292</v>
      </c>
      <c r="G8" s="8" t="s">
        <v>326</v>
      </c>
      <c r="H8" s="8" t="s">
        <v>516</v>
      </c>
    </row>
    <row r="9" spans="1:8" ht="57" customHeight="1">
      <c r="A9" s="7" t="s">
        <v>517</v>
      </c>
      <c r="B9" s="7" t="s">
        <v>51</v>
      </c>
      <c r="C9" s="7" t="s">
        <v>518</v>
      </c>
      <c r="D9" s="7" t="s">
        <v>519</v>
      </c>
      <c r="E9" s="14" t="s">
        <v>515</v>
      </c>
      <c r="F9" s="20">
        <v>46292</v>
      </c>
      <c r="G9" s="7" t="s">
        <v>330</v>
      </c>
      <c r="H9" s="7" t="s">
        <v>520</v>
      </c>
    </row>
    <row r="10" spans="1:8" ht="57" customHeight="1">
      <c r="A10" s="8" t="s">
        <v>521</v>
      </c>
      <c r="B10" s="8" t="s">
        <v>388</v>
      </c>
      <c r="C10" s="8" t="s">
        <v>522</v>
      </c>
      <c r="D10" s="8" t="s">
        <v>523</v>
      </c>
      <c r="E10" s="15" t="s">
        <v>499</v>
      </c>
      <c r="F10" s="21">
        <v>46291</v>
      </c>
      <c r="G10" s="8" t="s">
        <v>524</v>
      </c>
      <c r="H10" s="8" t="s">
        <v>525</v>
      </c>
    </row>
    <row r="11" spans="1:8" ht="57" customHeight="1">
      <c r="A11" s="7" t="s">
        <v>526</v>
      </c>
      <c r="B11" s="7" t="s">
        <v>527</v>
      </c>
      <c r="C11" s="7" t="s">
        <v>528</v>
      </c>
      <c r="D11" s="7" t="s">
        <v>529</v>
      </c>
      <c r="E11" s="14" t="s">
        <v>499</v>
      </c>
      <c r="F11" s="20">
        <v>46291</v>
      </c>
      <c r="G11" s="7" t="s">
        <v>524</v>
      </c>
      <c r="H11" s="7" t="s">
        <v>530</v>
      </c>
    </row>
    <row r="12" spans="1:8" ht="57" customHeight="1">
      <c r="A12" s="8" t="s">
        <v>531</v>
      </c>
      <c r="B12" s="8" t="s">
        <v>527</v>
      </c>
      <c r="C12" s="8" t="s">
        <v>532</v>
      </c>
      <c r="D12" s="8" t="s">
        <v>533</v>
      </c>
      <c r="E12" s="15" t="s">
        <v>393</v>
      </c>
      <c r="F12" s="21">
        <v>46291</v>
      </c>
      <c r="G12" s="8" t="s">
        <v>524</v>
      </c>
      <c r="H12" s="8" t="s">
        <v>534</v>
      </c>
    </row>
    <row r="13" spans="1:8" ht="57" customHeight="1">
      <c r="A13" s="7" t="s">
        <v>535</v>
      </c>
      <c r="B13" s="7" t="s">
        <v>536</v>
      </c>
      <c r="C13" s="7" t="s">
        <v>537</v>
      </c>
      <c r="D13" s="7" t="s">
        <v>538</v>
      </c>
      <c r="E13" s="14" t="s">
        <v>499</v>
      </c>
      <c r="F13" s="20">
        <v>46291</v>
      </c>
      <c r="G13" s="7" t="s">
        <v>466</v>
      </c>
      <c r="H13" s="7" t="s">
        <v>539</v>
      </c>
    </row>
    <row r="14" spans="1:8" ht="57" customHeight="1">
      <c r="A14" s="8" t="s">
        <v>540</v>
      </c>
      <c r="B14" s="8" t="s">
        <v>81</v>
      </c>
      <c r="C14" s="8" t="s">
        <v>541</v>
      </c>
      <c r="D14" s="8" t="s">
        <v>542</v>
      </c>
      <c r="E14" s="15" t="s">
        <v>393</v>
      </c>
      <c r="F14" s="21">
        <v>46292</v>
      </c>
      <c r="G14" s="8" t="s">
        <v>340</v>
      </c>
      <c r="H14" s="8" t="s">
        <v>543</v>
      </c>
    </row>
    <row r="15" spans="1:8" ht="57" customHeight="1">
      <c r="A15" s="7" t="s">
        <v>544</v>
      </c>
      <c r="B15" s="7" t="s">
        <v>545</v>
      </c>
      <c r="C15" s="7" t="s">
        <v>546</v>
      </c>
      <c r="D15" s="7" t="s">
        <v>547</v>
      </c>
      <c r="E15" s="14" t="s">
        <v>393</v>
      </c>
      <c r="F15" s="20">
        <v>46292</v>
      </c>
      <c r="G15" s="7" t="s">
        <v>86</v>
      </c>
      <c r="H15" s="7" t="s">
        <v>548</v>
      </c>
    </row>
    <row r="16" spans="1:8" ht="57" customHeight="1">
      <c r="A16" s="8" t="s">
        <v>549</v>
      </c>
      <c r="B16" s="8" t="s">
        <v>350</v>
      </c>
      <c r="C16" s="8" t="s">
        <v>550</v>
      </c>
      <c r="D16" s="8" t="s">
        <v>551</v>
      </c>
      <c r="E16" s="15" t="s">
        <v>393</v>
      </c>
      <c r="F16" s="21">
        <v>46292</v>
      </c>
      <c r="G16" s="8" t="s">
        <v>353</v>
      </c>
      <c r="H16" s="8" t="s">
        <v>552</v>
      </c>
    </row>
    <row r="17" spans="1:8" ht="57" customHeight="1">
      <c r="A17" s="7" t="s">
        <v>553</v>
      </c>
      <c r="B17" s="7" t="s">
        <v>355</v>
      </c>
      <c r="C17" s="7" t="s">
        <v>554</v>
      </c>
      <c r="D17" s="7" t="s">
        <v>551</v>
      </c>
      <c r="E17" s="14" t="s">
        <v>393</v>
      </c>
      <c r="F17" s="20">
        <v>46292</v>
      </c>
      <c r="G17" s="7" t="s">
        <v>358</v>
      </c>
      <c r="H17" s="7" t="s">
        <v>552</v>
      </c>
    </row>
    <row r="18" spans="1:8" ht="57" customHeight="1">
      <c r="A18" s="8" t="s">
        <v>555</v>
      </c>
      <c r="B18" s="8" t="s">
        <v>90</v>
      </c>
      <c r="C18" s="8" t="s">
        <v>556</v>
      </c>
      <c r="D18" s="8" t="s">
        <v>557</v>
      </c>
      <c r="E18" s="15" t="s">
        <v>393</v>
      </c>
      <c r="F18" s="21">
        <v>46292</v>
      </c>
      <c r="G18" s="8" t="s">
        <v>92</v>
      </c>
      <c r="H18" s="8" t="s">
        <v>558</v>
      </c>
    </row>
    <row r="19" spans="1:8" ht="57" customHeight="1">
      <c r="A19" s="7" t="s">
        <v>559</v>
      </c>
      <c r="B19" s="7" t="s">
        <v>362</v>
      </c>
      <c r="C19" s="7" t="s">
        <v>560</v>
      </c>
      <c r="D19" s="7" t="s">
        <v>561</v>
      </c>
      <c r="E19" s="14" t="s">
        <v>393</v>
      </c>
      <c r="F19" s="20">
        <v>46292</v>
      </c>
      <c r="G19" s="7" t="s">
        <v>95</v>
      </c>
      <c r="H19" s="7" t="s">
        <v>562</v>
      </c>
    </row>
    <row r="20" spans="1:8">
      <c r="E20" s="24"/>
      <c r="F20" s="23"/>
    </row>
    <row r="21" spans="1:8">
      <c r="E21" s="24"/>
      <c r="F21" s="23"/>
    </row>
    <row r="22" spans="1:8">
      <c r="E22" s="24"/>
      <c r="F22" s="23"/>
    </row>
    <row r="23" spans="1:8">
      <c r="E23" s="24"/>
      <c r="F23" s="23"/>
    </row>
    <row r="24" spans="1:8">
      <c r="E24" s="24"/>
      <c r="F24" s="23"/>
    </row>
    <row r="25" spans="1:8">
      <c r="E25" s="24"/>
      <c r="F25" s="23"/>
    </row>
    <row r="26" spans="1:8">
      <c r="E26" s="24"/>
      <c r="F26" s="23"/>
    </row>
    <row r="27" spans="1:8">
      <c r="E27" s="24"/>
      <c r="F27" s="23"/>
    </row>
    <row r="28" spans="1:8">
      <c r="E28" s="24"/>
      <c r="F28" s="23"/>
    </row>
    <row r="29" spans="1:8">
      <c r="E29" s="24"/>
      <c r="F29" s="23"/>
    </row>
    <row r="30" spans="1:8">
      <c r="E30" s="24"/>
      <c r="F30" s="23"/>
    </row>
    <row r="31" spans="1:8">
      <c r="E31" s="24"/>
      <c r="F31" s="23"/>
    </row>
    <row r="32" spans="1:8">
      <c r="E32" s="24"/>
      <c r="F32" s="23"/>
    </row>
    <row r="33" spans="5:6">
      <c r="E33" s="24"/>
      <c r="F33" s="23"/>
    </row>
    <row r="34" spans="5:6">
      <c r="E34" s="24"/>
      <c r="F34" s="23"/>
    </row>
    <row r="35" spans="5:6">
      <c r="E35" s="24"/>
      <c r="F35" s="23"/>
    </row>
    <row r="36" spans="5:6">
      <c r="E36" s="24"/>
      <c r="F36" s="23"/>
    </row>
    <row r="37" spans="5:6">
      <c r="E37" s="24"/>
      <c r="F37" s="23"/>
    </row>
    <row r="38" spans="5:6">
      <c r="E38" s="24"/>
      <c r="F38" s="23"/>
    </row>
    <row r="39" spans="5:6">
      <c r="E39" s="24"/>
      <c r="F39" s="23"/>
    </row>
    <row r="40" spans="5:6">
      <c r="E40" s="24"/>
      <c r="F40" s="23"/>
    </row>
    <row r="41" spans="5:6">
      <c r="E41" s="24"/>
      <c r="F41" s="23"/>
    </row>
    <row r="42" spans="5:6">
      <c r="E42" s="24"/>
      <c r="F42" s="23"/>
    </row>
    <row r="43" spans="5:6">
      <c r="E43" s="24"/>
      <c r="F43" s="23"/>
    </row>
    <row r="44" spans="5:6">
      <c r="E44" s="24"/>
      <c r="F44" s="23"/>
    </row>
    <row r="45" spans="5:6">
      <c r="E45" s="24"/>
      <c r="F45" s="23"/>
    </row>
    <row r="46" spans="5:6">
      <c r="E46" s="24"/>
      <c r="F46" s="23"/>
    </row>
    <row r="47" spans="5:6">
      <c r="E47" s="24"/>
      <c r="F47" s="23"/>
    </row>
    <row r="48" spans="5:6">
      <c r="E48" s="24"/>
      <c r="F48" s="23"/>
    </row>
    <row r="49" spans="5:6">
      <c r="E49" s="24"/>
      <c r="F49" s="23"/>
    </row>
    <row r="50" spans="5:6">
      <c r="E50" s="24"/>
      <c r="F50" s="23"/>
    </row>
    <row r="51" spans="5:6">
      <c r="E51" s="24"/>
      <c r="F51" s="23"/>
    </row>
    <row r="52" spans="5:6">
      <c r="E52" s="24"/>
      <c r="F52" s="23"/>
    </row>
    <row r="53" spans="5:6">
      <c r="E53" s="24"/>
      <c r="F53" s="23"/>
    </row>
    <row r="54" spans="5:6">
      <c r="E54" s="24"/>
      <c r="F54" s="23"/>
    </row>
    <row r="55" spans="5:6">
      <c r="E55" s="24"/>
      <c r="F55" s="23"/>
    </row>
    <row r="56" spans="5:6">
      <c r="E56" s="24"/>
      <c r="F56" s="23"/>
    </row>
    <row r="57" spans="5:6">
      <c r="E57" s="24"/>
      <c r="F57" s="23"/>
    </row>
    <row r="58" spans="5:6">
      <c r="E58" s="24"/>
      <c r="F58" s="23"/>
    </row>
    <row r="59" spans="5:6">
      <c r="E59" s="24"/>
      <c r="F59" s="23"/>
    </row>
    <row r="60" spans="5:6">
      <c r="E60" s="24"/>
      <c r="F60" s="23"/>
    </row>
    <row r="61" spans="5:6">
      <c r="E61" s="24"/>
      <c r="F61" s="23"/>
    </row>
    <row r="62" spans="5:6">
      <c r="E62" s="24"/>
      <c r="F62" s="23"/>
    </row>
    <row r="63" spans="5:6">
      <c r="E63" s="24"/>
      <c r="F63" s="23"/>
    </row>
    <row r="64" spans="5:6">
      <c r="E64" s="24"/>
      <c r="F64" s="23"/>
    </row>
    <row r="65" spans="5:6">
      <c r="E65" s="24"/>
      <c r="F65" s="23"/>
    </row>
    <row r="66" spans="5:6">
      <c r="E66" s="24"/>
      <c r="F66" s="23"/>
    </row>
    <row r="67" spans="5:6">
      <c r="E67" s="24"/>
      <c r="F67" s="23"/>
    </row>
    <row r="68" spans="5:6">
      <c r="E68" s="24"/>
      <c r="F68" s="23"/>
    </row>
    <row r="69" spans="5:6">
      <c r="E69" s="24"/>
      <c r="F69" s="23"/>
    </row>
    <row r="70" spans="5:6">
      <c r="E70" s="24"/>
      <c r="F70" s="23"/>
    </row>
    <row r="71" spans="5:6">
      <c r="E71" s="24"/>
      <c r="F71" s="23"/>
    </row>
    <row r="72" spans="5:6">
      <c r="E72" s="24"/>
      <c r="F72" s="23"/>
    </row>
    <row r="73" spans="5:6">
      <c r="E73" s="24"/>
      <c r="F73" s="23"/>
    </row>
    <row r="74" spans="5:6">
      <c r="E74" s="24"/>
      <c r="F74" s="23"/>
    </row>
    <row r="75" spans="5:6">
      <c r="E75" s="24"/>
      <c r="F75" s="23"/>
    </row>
    <row r="76" spans="5:6">
      <c r="E76" s="24"/>
      <c r="F76" s="23"/>
    </row>
    <row r="77" spans="5:6">
      <c r="E77" s="24"/>
      <c r="F77" s="23"/>
    </row>
    <row r="78" spans="5:6">
      <c r="E78" s="24"/>
      <c r="F78" s="23"/>
    </row>
    <row r="79" spans="5:6">
      <c r="E79" s="24"/>
      <c r="F79" s="23"/>
    </row>
    <row r="80" spans="5:6">
      <c r="E80" s="24"/>
      <c r="F80" s="23"/>
    </row>
    <row r="81" spans="5:6">
      <c r="E81" s="24"/>
      <c r="F81" s="23"/>
    </row>
    <row r="82" spans="5:6">
      <c r="E82" s="24"/>
      <c r="F82" s="23"/>
    </row>
    <row r="83" spans="5:6">
      <c r="E83" s="24"/>
      <c r="F83" s="23"/>
    </row>
    <row r="84" spans="5:6">
      <c r="E84" s="24"/>
      <c r="F84" s="23"/>
    </row>
    <row r="85" spans="5:6">
      <c r="E85" s="24"/>
      <c r="F85" s="23"/>
    </row>
    <row r="86" spans="5:6">
      <c r="E86" s="24"/>
      <c r="F86" s="23"/>
    </row>
    <row r="87" spans="5:6">
      <c r="E87" s="24"/>
      <c r="F87" s="23"/>
    </row>
    <row r="88" spans="5:6">
      <c r="E88" s="24"/>
      <c r="F88" s="23"/>
    </row>
    <row r="89" spans="5:6">
      <c r="E89" s="24"/>
      <c r="F89" s="23"/>
    </row>
    <row r="90" spans="5:6">
      <c r="E90" s="24"/>
      <c r="F90" s="23"/>
    </row>
    <row r="91" spans="5:6">
      <c r="E91" s="24"/>
      <c r="F91" s="23"/>
    </row>
    <row r="92" spans="5:6">
      <c r="E92" s="24"/>
      <c r="F92" s="23"/>
    </row>
    <row r="93" spans="5:6">
      <c r="E93" s="24"/>
      <c r="F93" s="23"/>
    </row>
    <row r="94" spans="5:6">
      <c r="E94" s="24"/>
      <c r="F94" s="23"/>
    </row>
    <row r="95" spans="5:6">
      <c r="E95" s="24"/>
      <c r="F95" s="23"/>
    </row>
    <row r="96" spans="5:6">
      <c r="E96" s="24"/>
      <c r="F96" s="23"/>
    </row>
    <row r="97" spans="5:6">
      <c r="E97" s="24"/>
      <c r="F97" s="23"/>
    </row>
    <row r="98" spans="5:6">
      <c r="E98" s="24"/>
      <c r="F98" s="23"/>
    </row>
    <row r="99" spans="5:6">
      <c r="E99" s="24"/>
      <c r="F99" s="23"/>
    </row>
    <row r="100" spans="5:6">
      <c r="E100" s="24"/>
      <c r="F100" s="23"/>
    </row>
    <row r="101" spans="5:6">
      <c r="E101" s="24"/>
      <c r="F101" s="23"/>
    </row>
    <row r="102" spans="5:6">
      <c r="E102" s="24"/>
      <c r="F102" s="23"/>
    </row>
    <row r="103" spans="5:6">
      <c r="E103" s="24"/>
      <c r="F103" s="23"/>
    </row>
    <row r="104" spans="5:6">
      <c r="E104" s="24"/>
      <c r="F104" s="23"/>
    </row>
    <row r="105" spans="5:6">
      <c r="E105" s="24"/>
      <c r="F105" s="23"/>
    </row>
    <row r="106" spans="5:6">
      <c r="E106" s="24"/>
      <c r="F106" s="23"/>
    </row>
    <row r="107" spans="5:6">
      <c r="E107" s="24"/>
      <c r="F107" s="23"/>
    </row>
    <row r="108" spans="5:6">
      <c r="E108" s="24"/>
      <c r="F108" s="23"/>
    </row>
    <row r="109" spans="5:6">
      <c r="E109" s="24"/>
      <c r="F109" s="23"/>
    </row>
    <row r="110" spans="5:6">
      <c r="E110" s="24"/>
      <c r="F110" s="23"/>
    </row>
    <row r="111" spans="5:6">
      <c r="E111" s="24"/>
      <c r="F111" s="23"/>
    </row>
    <row r="112" spans="5:6">
      <c r="E112" s="24"/>
      <c r="F112" s="23"/>
    </row>
    <row r="113" spans="5:6">
      <c r="E113" s="24"/>
      <c r="F113" s="23"/>
    </row>
    <row r="114" spans="5:6">
      <c r="E114" s="24"/>
      <c r="F114" s="23"/>
    </row>
    <row r="115" spans="5:6">
      <c r="E115" s="24"/>
      <c r="F115" s="23"/>
    </row>
    <row r="116" spans="5:6">
      <c r="E116" s="24"/>
      <c r="F116" s="23"/>
    </row>
    <row r="117" spans="5:6">
      <c r="E117" s="24"/>
      <c r="F117" s="23"/>
    </row>
    <row r="118" spans="5:6">
      <c r="E118" s="24"/>
      <c r="F118" s="23"/>
    </row>
    <row r="119" spans="5:6">
      <c r="E119" s="24"/>
      <c r="F119" s="23"/>
    </row>
    <row r="120" spans="5:6">
      <c r="E120" s="24"/>
      <c r="F120" s="23"/>
    </row>
    <row r="121" spans="5:6">
      <c r="E121" s="24"/>
      <c r="F121" s="23"/>
    </row>
    <row r="122" spans="5:6">
      <c r="E122" s="24"/>
      <c r="F122" s="23"/>
    </row>
    <row r="123" spans="5:6">
      <c r="E123" s="24"/>
      <c r="F123" s="23"/>
    </row>
    <row r="124" spans="5:6">
      <c r="E124" s="24"/>
      <c r="F124" s="23"/>
    </row>
    <row r="125" spans="5:6">
      <c r="E125" s="24"/>
      <c r="F125" s="23"/>
    </row>
    <row r="126" spans="5:6">
      <c r="E126" s="24"/>
      <c r="F126" s="23"/>
    </row>
    <row r="127" spans="5:6">
      <c r="E127" s="24"/>
      <c r="F127" s="23"/>
    </row>
    <row r="128" spans="5:6">
      <c r="E128" s="24"/>
      <c r="F128" s="23"/>
    </row>
    <row r="129" spans="5:6">
      <c r="E129" s="24"/>
      <c r="F129" s="23"/>
    </row>
    <row r="130" spans="5:6">
      <c r="E130" s="24"/>
      <c r="F130" s="23"/>
    </row>
    <row r="131" spans="5:6">
      <c r="E131" s="24"/>
      <c r="F131" s="23"/>
    </row>
    <row r="132" spans="5:6">
      <c r="E132" s="24"/>
      <c r="F132" s="23"/>
    </row>
    <row r="133" spans="5:6">
      <c r="E133" s="24"/>
      <c r="F133" s="23"/>
    </row>
    <row r="134" spans="5:6">
      <c r="E134" s="24"/>
      <c r="F134" s="23"/>
    </row>
    <row r="135" spans="5:6">
      <c r="E135" s="24"/>
      <c r="F135" s="23"/>
    </row>
    <row r="136" spans="5:6">
      <c r="E136" s="24"/>
      <c r="F136" s="23"/>
    </row>
    <row r="137" spans="5:6">
      <c r="E137" s="24"/>
      <c r="F137" s="23"/>
    </row>
    <row r="138" spans="5:6">
      <c r="E138" s="24"/>
      <c r="F138" s="23"/>
    </row>
    <row r="139" spans="5:6">
      <c r="E139" s="24"/>
      <c r="F139" s="23"/>
    </row>
    <row r="140" spans="5:6">
      <c r="E140" s="24"/>
      <c r="F140" s="23"/>
    </row>
    <row r="141" spans="5:6">
      <c r="E141" s="24"/>
      <c r="F141" s="23"/>
    </row>
    <row r="142" spans="5:6">
      <c r="E142" s="24"/>
      <c r="F142" s="23"/>
    </row>
    <row r="143" spans="5:6">
      <c r="E143" s="24"/>
      <c r="F143" s="23"/>
    </row>
    <row r="144" spans="5:6">
      <c r="E144" s="24"/>
      <c r="F144" s="23"/>
    </row>
    <row r="145" spans="5:6">
      <c r="E145" s="24"/>
      <c r="F145" s="23"/>
    </row>
    <row r="146" spans="5:6">
      <c r="E146" s="24"/>
      <c r="F146" s="23"/>
    </row>
    <row r="147" spans="5:6">
      <c r="E147" s="24"/>
      <c r="F147" s="23"/>
    </row>
    <row r="148" spans="5:6">
      <c r="E148" s="24"/>
      <c r="F148" s="23"/>
    </row>
    <row r="149" spans="5:6">
      <c r="E149" s="24"/>
      <c r="F149" s="23"/>
    </row>
    <row r="150" spans="5:6">
      <c r="E150" s="24"/>
      <c r="F150" s="23"/>
    </row>
    <row r="151" spans="5:6">
      <c r="E151" s="24"/>
      <c r="F151" s="23"/>
    </row>
    <row r="152" spans="5:6">
      <c r="E152" s="24"/>
      <c r="F152" s="23"/>
    </row>
    <row r="153" spans="5:6">
      <c r="E153" s="24"/>
      <c r="F153" s="23"/>
    </row>
    <row r="154" spans="5:6">
      <c r="E154" s="24"/>
      <c r="F154" s="23"/>
    </row>
    <row r="155" spans="5:6">
      <c r="E155" s="24"/>
      <c r="F155" s="23"/>
    </row>
    <row r="156" spans="5:6">
      <c r="E156" s="24"/>
      <c r="F156" s="23"/>
    </row>
    <row r="157" spans="5:6">
      <c r="E157" s="24"/>
      <c r="F157" s="23"/>
    </row>
    <row r="158" spans="5:6">
      <c r="E158" s="24"/>
      <c r="F158" s="23"/>
    </row>
    <row r="159" spans="5:6">
      <c r="E159" s="24"/>
      <c r="F159" s="23"/>
    </row>
    <row r="160" spans="5:6">
      <c r="E160" s="24"/>
      <c r="F160" s="23"/>
    </row>
    <row r="161" spans="5:6">
      <c r="E161" s="24"/>
      <c r="F161" s="23"/>
    </row>
    <row r="162" spans="5:6">
      <c r="E162" s="24"/>
      <c r="F162" s="23"/>
    </row>
    <row r="163" spans="5:6">
      <c r="E163" s="24"/>
      <c r="F163" s="23"/>
    </row>
    <row r="164" spans="5:6">
      <c r="E164" s="24"/>
      <c r="F164" s="23"/>
    </row>
    <row r="165" spans="5:6">
      <c r="E165" s="24"/>
      <c r="F165" s="23"/>
    </row>
    <row r="166" spans="5:6">
      <c r="E166" s="24"/>
      <c r="F166" s="23"/>
    </row>
    <row r="167" spans="5:6">
      <c r="E167" s="24"/>
      <c r="F167" s="23"/>
    </row>
    <row r="168" spans="5:6">
      <c r="E168" s="24"/>
      <c r="F168" s="23"/>
    </row>
    <row r="169" spans="5:6">
      <c r="E169" s="24"/>
      <c r="F169" s="23"/>
    </row>
    <row r="170" spans="5:6">
      <c r="E170" s="24"/>
      <c r="F170" s="23"/>
    </row>
    <row r="171" spans="5:6">
      <c r="E171" s="24"/>
      <c r="F171" s="23"/>
    </row>
    <row r="172" spans="5:6">
      <c r="E172" s="24"/>
      <c r="F172" s="23"/>
    </row>
    <row r="173" spans="5:6">
      <c r="E173" s="24"/>
      <c r="F173" s="23"/>
    </row>
    <row r="174" spans="5:6">
      <c r="E174" s="24"/>
      <c r="F174" s="23"/>
    </row>
    <row r="175" spans="5:6">
      <c r="E175" s="24"/>
      <c r="F175" s="23"/>
    </row>
    <row r="176" spans="5:6">
      <c r="E176" s="24"/>
      <c r="F176" s="23"/>
    </row>
    <row r="177" spans="5:6">
      <c r="E177" s="24"/>
      <c r="F177" s="23"/>
    </row>
    <row r="178" spans="5:6">
      <c r="E178" s="24"/>
      <c r="F178" s="23"/>
    </row>
    <row r="179" spans="5:6">
      <c r="E179" s="24"/>
      <c r="F179" s="23"/>
    </row>
    <row r="180" spans="5:6">
      <c r="E180" s="24"/>
      <c r="F180" s="23"/>
    </row>
    <row r="181" spans="5:6">
      <c r="E181" s="24"/>
      <c r="F181" s="23"/>
    </row>
    <row r="182" spans="5:6">
      <c r="E182" s="24"/>
      <c r="F182" s="23"/>
    </row>
    <row r="183" spans="5:6">
      <c r="E183" s="24"/>
      <c r="F183" s="23"/>
    </row>
    <row r="184" spans="5:6">
      <c r="E184" s="24"/>
      <c r="F184" s="23"/>
    </row>
    <row r="185" spans="5:6">
      <c r="E185" s="24"/>
      <c r="F185" s="23"/>
    </row>
    <row r="186" spans="5:6">
      <c r="E186" s="24"/>
      <c r="F186" s="23"/>
    </row>
    <row r="187" spans="5:6">
      <c r="E187" s="24"/>
      <c r="F187" s="23"/>
    </row>
    <row r="188" spans="5:6">
      <c r="E188" s="24"/>
      <c r="F188" s="23"/>
    </row>
    <row r="189" spans="5:6">
      <c r="E189" s="24"/>
      <c r="F189" s="23"/>
    </row>
    <row r="190" spans="5:6">
      <c r="E190" s="24"/>
      <c r="F190" s="23"/>
    </row>
    <row r="191" spans="5:6">
      <c r="E191" s="24"/>
      <c r="F191" s="23"/>
    </row>
    <row r="192" spans="5:6">
      <c r="E192" s="24"/>
      <c r="F192" s="23"/>
    </row>
    <row r="193" spans="5:6">
      <c r="E193" s="24"/>
      <c r="F193" s="23"/>
    </row>
    <row r="194" spans="5:6">
      <c r="E194" s="24"/>
      <c r="F194" s="23"/>
    </row>
    <row r="195" spans="5:6">
      <c r="E195" s="24"/>
      <c r="F195" s="23"/>
    </row>
    <row r="196" spans="5:6">
      <c r="E196" s="24"/>
      <c r="F196" s="23"/>
    </row>
    <row r="197" spans="5:6">
      <c r="E197" s="24"/>
      <c r="F197" s="23"/>
    </row>
    <row r="198" spans="5:6">
      <c r="E198" s="24"/>
      <c r="F198" s="23"/>
    </row>
    <row r="199" spans="5:6">
      <c r="E199" s="24"/>
      <c r="F199" s="23"/>
    </row>
    <row r="200" spans="5:6">
      <c r="E200" s="24"/>
      <c r="F200" s="23"/>
    </row>
  </sheetData>
  <mergeCells count="2">
    <mergeCell ref="A1:H1"/>
    <mergeCell ref="A2:H2"/>
  </mergeCells>
  <conditionalFormatting sqref="E5:E19">
    <cfRule type="expression" dxfId="27" priority="6">
      <formula>E5="XONG"</formula>
    </cfRule>
    <cfRule type="expression" dxfId="26" priority="7">
      <formula>E5="ĐÃ PASS"</formula>
    </cfRule>
    <cfRule type="expression" dxfId="25" priority="8">
      <formula>E5="PASS"</formula>
    </cfRule>
    <cfRule type="expression" dxfId="24" priority="9">
      <formula>E5="ĐÃ GIẢI QUYẾT"</formula>
    </cfRule>
    <cfRule type="expression" dxfId="23" priority="10">
      <formula>E5="ĐANG LÀM"</formula>
    </cfRule>
    <cfRule type="expression" dxfId="22" priority="11">
      <formula>E5="TÌM THẤY / CHỜ CHẠY LẠI"</formula>
    </cfRule>
    <cfRule type="expression" dxfId="21" priority="12">
      <formula>E5="TÌM THẤY"</formula>
    </cfRule>
    <cfRule type="expression" dxfId="20" priority="13">
      <formula>E5="CHỜ"</formula>
    </cfRule>
    <cfRule type="expression" dxfId="19" priority="14">
      <formula>E5="CHỜ CHẠY"</formula>
    </cfRule>
    <cfRule type="expression" dxfId="18" priority="15">
      <formula>E5="MỞ"</formula>
    </cfRule>
    <cfRule type="expression" dxfId="17" priority="16">
      <formula>E5="BỊ CHẶN"</formula>
    </cfRule>
    <cfRule type="expression" dxfId="16" priority="17">
      <formula>E5="CHƯA PASS"</formula>
    </cfRule>
    <cfRule type="expression" dxfId="15" priority="18">
      <formula>E5="TẠM HOÃN"</formula>
    </cfRule>
  </conditionalFormatting>
  <conditionalFormatting sqref="E5:E200">
    <cfRule type="cellIs" dxfId="14" priority="19" operator="equal">
      <formula>"XONG"</formula>
    </cfRule>
    <cfRule type="cellIs" dxfId="13" priority="20" operator="equal">
      <formula>"PASS"</formula>
    </cfRule>
    <cfRule type="cellIs" dxfId="12" priority="21" operator="equal">
      <formula>"ĐÃ PASS"</formula>
    </cfRule>
    <cfRule type="cellIs" dxfId="11" priority="22" operator="equal">
      <formula>"ĐÃ GIẢI QUYẾT"</formula>
    </cfRule>
    <cfRule type="cellIs" dxfId="10" priority="23" operator="equal">
      <formula>"ĐANG LÀM"</formula>
    </cfRule>
    <cfRule type="cellIs" dxfId="9" priority="24" operator="equal">
      <formula>"BỊ CHẶN"</formula>
    </cfRule>
    <cfRule type="cellIs" dxfId="8" priority="25" operator="equal">
      <formula>"FAIL"</formula>
    </cfRule>
    <cfRule type="cellIs" dxfId="7" priority="26" operator="equal">
      <formula>"CHỜ"</formula>
    </cfRule>
    <cfRule type="cellIs" dxfId="6" priority="27" operator="equal">
      <formula>"CHƯA PASS"</formula>
    </cfRule>
    <cfRule type="cellIs" dxfId="5" priority="28" operator="equal">
      <formula>"CHỜ CHẠY"</formula>
    </cfRule>
    <cfRule type="cellIs" dxfId="4" priority="29" operator="equal">
      <formula>"MỞ"</formula>
    </cfRule>
    <cfRule type="cellIs" dxfId="3" priority="30" operator="equal">
      <formula>"TÌM THẤY / CHỜ CHẠY LẠI"</formula>
    </cfRule>
    <cfRule type="cellIs" dxfId="2" priority="31" operator="equal">
      <formula>"PASS LỊCH SỬ"</formula>
    </cfRule>
    <cfRule type="cellIs" dxfId="1" priority="32" operator="equal">
      <formula>"TẠM HOÃN"</formula>
    </cfRule>
    <cfRule type="cellIs" dxfId="0" priority="33" operator="equal">
      <formula>"CHƯA LÀM"</formula>
    </cfRule>
  </conditionalFormatting>
  <dataValidations count="1">
    <dataValidation type="list" sqref="E5:E200" xr:uid="{00000000-0002-0000-0600-000000000000}">
      <formula1>"PASS,PASS LỊCH SỬ,CHỜ CHẠY,BỊ CHẶN,FAIL"</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00_BAT_DAU</vt:lpstr>
      <vt:lpstr>01_TONG_QUAN</vt:lpstr>
      <vt:lpstr>02_SAN_PHAM</vt:lpstr>
      <vt:lpstr>03_ROADMAP</vt:lpstr>
      <vt:lpstr>04_CONG_VIEC</vt:lpstr>
      <vt:lpstr>05_VAN_DE_THAY_DOI</vt:lpstr>
      <vt:lpstr>06_BANG_CHUNG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Trần Phúc</cp:lastModifiedBy>
  <dcterms:created xsi:type="dcterms:W3CDTF">2026-09-27T08:34:15Z</dcterms:created>
  <dcterms:modified xsi:type="dcterms:W3CDTF">2026-09-27T08:34:15Z</dcterms:modified>
</cp:coreProperties>
</file>