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Mingo\outputs\mingo-ui-v2\"/>
    </mc:Choice>
  </mc:AlternateContent>
  <xr:revisionPtr revIDLastSave="0" documentId="13_ncr:1_{6CD5BADF-F070-44C6-BBD1-D54694C15FF9}" xr6:coauthVersionLast="47" xr6:coauthVersionMax="47" xr10:uidLastSave="{00000000-0000-0000-0000-000000000000}"/>
  <bookViews>
    <workbookView xWindow="-108" yWindow="-108" windowWidth="23256" windowHeight="12456" xr2:uid="{00000000-000D-0000-FFFF-FFFF00000000}"/>
  </bookViews>
  <sheets>
    <sheet name="00_Tong_quan" sheetId="1" r:id="rId1"/>
    <sheet name="01_Muc_luc" sheetId="2" r:id="rId2"/>
    <sheet name="02_Cong_viec" sheetId="3" r:id="rId3"/>
    <sheet name="03_Hanh_dong" sheetId="4" r:id="rId4"/>
    <sheet name="04_Nghiem_thu" sheetId="5" r:id="rId5"/>
    <sheet name="05_Blocker" sheetId="6" r:id="rId6"/>
    <sheet name="06_Roadmap" sheetId="7" r:id="rId7"/>
    <sheet name="07_Checklist_P1" sheetId="8" r:id="rId8"/>
    <sheet name="08_San_pham" sheetId="9" r:id="rId9"/>
    <sheet name="09_Luong_hoc" sheetId="10" r:id="rId10"/>
    <sheet name="10_Quy_tac" sheetId="11" r:id="rId11"/>
    <sheet name="11_Da_chot" sheetId="12" r:id="rId12"/>
    <sheet name="12_Gia_thuyet" sheetId="13" r:id="rId13"/>
    <sheet name="13_Baseline_V3_2" sheetId="14" r:id="rId14"/>
    <sheet name="14_Van_de" sheetId="15" r:id="rId15"/>
    <sheet name="15_Xu_ly_van_de" sheetId="16" r:id="rId16"/>
    <sheet name="16_Thay_doi" sheetId="17" r:id="rId17"/>
    <sheet name="17_Ghi_chu" sheetId="18" r:id="rId18"/>
    <sheet name="18_Bang_chung" sheetId="19" r:id="rId19"/>
    <sheet name="19_Pham_vi_test" sheetId="20" r:id="rId20"/>
    <sheet name="20_Cach_lam_viec" sheetId="21" r:id="rId21"/>
    <sheet name="21_Tu_dien" sheetId="22" r:id="rId22"/>
  </sheets>
  <definedNames>
    <definedName name="_xlnm.Print_Area" localSheetId="0">'00_Tong_quan'!$A$1:$I$30</definedName>
    <definedName name="_xlnm.Print_Area" localSheetId="1">'01_Muc_luc'!$A$1:$F$39</definedName>
    <definedName name="_xlnm.Print_Area" localSheetId="2">'02_Cong_viec'!$A$1:$I$21</definedName>
    <definedName name="_xlnm.Print_Area" localSheetId="3">'03_Hanh_dong'!$A$1:$F$21</definedName>
    <definedName name="_xlnm.Print_Area" localSheetId="4">'04_Nghiem_thu'!$A$1:$E$21</definedName>
    <definedName name="_xlnm.Print_Area" localSheetId="5">'05_Blocker'!$A$1:$E$25</definedName>
    <definedName name="_xlnm.Print_Area" localSheetId="6">'06_Roadmap'!$A$1:$G$26</definedName>
    <definedName name="_xlnm.Print_Area" localSheetId="7">'07_Checklist_P1'!$A$1:$H$20</definedName>
    <definedName name="_xlnm.Print_Area" localSheetId="8">'08_San_pham'!$A$1:$D$27</definedName>
    <definedName name="_xlnm.Print_Area" localSheetId="9">'09_Luong_hoc'!$A$1:$D$19</definedName>
    <definedName name="_xlnm.Print_Area" localSheetId="10">'10_Quy_tac'!$A$1:$C$19</definedName>
    <definedName name="_xlnm.Print_Area" localSheetId="11">'11_Da_chot'!$A$1:$C$22</definedName>
    <definedName name="_xlnm.Print_Area" localSheetId="12">'12_Gia_thuyet'!$A$1:$C$17</definedName>
    <definedName name="_xlnm.Print_Area" localSheetId="13">'13_Baseline_V3_2'!$A$1:$C$20</definedName>
    <definedName name="_xlnm.Print_Area" localSheetId="14">'14_Van_de'!$A$1:$G$17</definedName>
    <definedName name="_xlnm.Print_Area" localSheetId="15">'15_Xu_ly_van_de'!$A$1:$F$17</definedName>
    <definedName name="_xlnm.Print_Area" localSheetId="16">'16_Thay_doi'!$A$1:$J$13</definedName>
    <definedName name="_xlnm.Print_Area" localSheetId="17">'17_Ghi_chu'!$A$1:$F$28</definedName>
    <definedName name="_xlnm.Print_Area" localSheetId="18">'18_Bang_chung'!$A$1:$G$23</definedName>
    <definedName name="_xlnm.Print_Area" localSheetId="19">'19_Pham_vi_test'!$A$1:$D$23</definedName>
    <definedName name="_xlnm.Print_Area" localSheetId="20">'20_Cach_lam_viec'!$A$1:$D$22</definedName>
    <definedName name="_xlnm.Print_Area" localSheetId="21">'21_Tu_dien'!$A$1:$C$16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8" l="1"/>
  <c r="G19" i="8"/>
  <c r="G18" i="8"/>
  <c r="G17" i="8"/>
  <c r="G16" i="8"/>
  <c r="G15" i="8"/>
  <c r="G14" i="8"/>
  <c r="G13" i="8"/>
  <c r="G12" i="8"/>
  <c r="G11" i="8"/>
  <c r="G10" i="8"/>
  <c r="G9" i="8"/>
  <c r="F10" i="7"/>
  <c r="C14" i="6"/>
  <c r="C13" i="6"/>
  <c r="C12" i="6"/>
  <c r="C11" i="6"/>
  <c r="C10" i="6"/>
  <c r="C9" i="6"/>
  <c r="C21" i="5"/>
  <c r="C20" i="5"/>
  <c r="C19" i="5"/>
  <c r="C18" i="5"/>
  <c r="C17" i="5"/>
  <c r="C16" i="5"/>
  <c r="C15" i="5"/>
  <c r="C14" i="5"/>
  <c r="C13" i="5"/>
  <c r="C12" i="5"/>
  <c r="C11" i="5"/>
  <c r="C10" i="5"/>
  <c r="C9" i="5"/>
  <c r="E20" i="1"/>
  <c r="E21" i="1" s="1"/>
  <c r="E19" i="1"/>
  <c r="H8" i="1"/>
  <c r="E8" i="1"/>
</calcChain>
</file>

<file path=xl/sharedStrings.xml><?xml version="1.0" encoding="utf-8"?>
<sst xmlns="http://schemas.openxmlformats.org/spreadsheetml/2006/main" count="895" uniqueCount="575">
  <si>
    <t>M I N G O    /    DỰ ÁN</t>
  </si>
  <si>
    <t>Tổng quan</t>
  </si>
  <si>
    <t>Mingo · Adaptive Language Learning &amp; Early Intervention Platform</t>
  </si>
  <si>
    <t>Phase 1</t>
  </si>
  <si>
    <t>Nền tảng triển khai</t>
  </si>
  <si>
    <t>Task Phase 1 đã hoàn tất</t>
  </si>
  <si>
    <t>Task đang bị chặn</t>
  </si>
  <si>
    <t>Mục tiêu</t>
  </si>
  <si>
    <t>Xây sản phẩm học ngôn ngữ hoàn chỉnh: học tập → offline → dữ liệu → intelligence → risk → recommendation → staff → production.</t>
  </si>
  <si>
    <t>Trạng thái Phase 1</t>
  </si>
  <si>
    <t>Gate Phase 1</t>
  </si>
  <si>
    <t>Phase 2</t>
  </si>
  <si>
    <t>Phase 0</t>
  </si>
  <si>
    <t>XONG — V3.2.0 là baseline chuẩn của Phase 0</t>
  </si>
  <si>
    <t>Đi tới</t>
  </si>
  <si>
    <t>Công việc →</t>
  </si>
  <si>
    <t>Blocker →</t>
  </si>
  <si>
    <t>Tất cả sheet →</t>
  </si>
  <si>
    <t>M I N G O    /    ĐIỀU HƯỚNG</t>
  </si>
  <si>
    <t>Mục lục</t>
  </si>
  <si>
    <t>Chọn một sheet theo việc bạn đang cần làm.</t>
  </si>
  <si>
    <t>Thực hiện</t>
  </si>
  <si>
    <t>Sản phẩm</t>
  </si>
  <si>
    <t>02</t>
  </si>
  <si>
    <t>Công việc</t>
  </si>
  <si>
    <t>08</t>
  </si>
  <si>
    <t>Sản phẩm Mingo</t>
  </si>
  <si>
    <t>03</t>
  </si>
  <si>
    <t>Hành động tiếp theo</t>
  </si>
  <si>
    <t>09</t>
  </si>
  <si>
    <t>Luồng học</t>
  </si>
  <si>
    <t>04</t>
  </si>
  <si>
    <t>Nghiệm thu task</t>
  </si>
  <si>
    <t>10</t>
  </si>
  <si>
    <t>Quy tắc nghiệp vụ</t>
  </si>
  <si>
    <t>05</t>
  </si>
  <si>
    <t>Blocker</t>
  </si>
  <si>
    <t>11</t>
  </si>
  <si>
    <t>Nội dung đã chốt</t>
  </si>
  <si>
    <t>06</t>
  </si>
  <si>
    <t>Roadmap</t>
  </si>
  <si>
    <t>12</t>
  </si>
  <si>
    <t>Giả thuyết &amp; chính sách</t>
  </si>
  <si>
    <t>07</t>
  </si>
  <si>
    <t>Checklist Phase 1</t>
  </si>
  <si>
    <t>13</t>
  </si>
  <si>
    <t>Baseline V3.2</t>
  </si>
  <si>
    <t>Vấn đề &amp; kiểm chứng</t>
  </si>
  <si>
    <t>Bắt đầu &amp; hướng dẫn</t>
  </si>
  <si>
    <t>14</t>
  </si>
  <si>
    <t>Vấn đề</t>
  </si>
  <si>
    <t>00</t>
  </si>
  <si>
    <t>15</t>
  </si>
  <si>
    <t>Xử lý vấn đề</t>
  </si>
  <si>
    <t>20</t>
  </si>
  <si>
    <t>Cách làm việc</t>
  </si>
  <si>
    <t>16</t>
  </si>
  <si>
    <t>Đề nghị thay đổi</t>
  </si>
  <si>
    <t>21</t>
  </si>
  <si>
    <t>Từ điển dự án</t>
  </si>
  <si>
    <t>17</t>
  </si>
  <si>
    <t>Ghi chú &amp; action</t>
  </si>
  <si>
    <t>18</t>
  </si>
  <si>
    <t>Bằng chứng</t>
  </si>
  <si>
    <t>19</t>
  </si>
  <si>
    <t>Phạm vi bằng chứng</t>
  </si>
  <si>
    <t>M I N G O    /    THỰC HIỆN</t>
  </si>
  <si>
    <t>Cập nhật trạng thái, người phụ trách và hạn tại đây.</t>
  </si>
  <si>
    <t>Task ID</t>
  </si>
  <si>
    <t>Phase</t>
  </si>
  <si>
    <t>Ưu tiên</t>
  </si>
  <si>
    <t>Trạng thái</t>
  </si>
  <si>
    <t>Phụ trách</t>
  </si>
  <si>
    <t>Hạn</t>
  </si>
  <si>
    <t>Cập nhật</t>
  </si>
  <si>
    <t>P1-T001</t>
  </si>
  <si>
    <t>P1</t>
  </si>
  <si>
    <t>Import V3.2 original vào canonical repo</t>
  </si>
  <si>
    <t>P0</t>
  </si>
  <si>
    <t>ĐANG LÀM</t>
  </si>
  <si>
    <t>P1-T002</t>
  </si>
  <si>
    <t>Rerun 115 contract checks</t>
  </si>
  <si>
    <t>CHỜ</t>
  </si>
  <si>
    <t>P1-T003</t>
  </si>
  <si>
    <t>Rerun 22 SQL checks</t>
  </si>
  <si>
    <t>P1-T004</t>
  </si>
  <si>
    <t>Python 3.12 full backend verification</t>
  </si>
  <si>
    <t>P1-T005</t>
  </si>
  <si>
    <t>Provision/access mingo + mingo_test</t>
  </si>
  <si>
    <t>BỊ CHẶN</t>
  </si>
  <si>
    <t>P1-T006</t>
  </si>
  <si>
    <t>Migration + six DB tests</t>
  </si>
  <si>
    <t>P1-T007</t>
  </si>
  <si>
    <t>ready=200 + worker probe</t>
  </si>
  <si>
    <t>P1-T008</t>
  </si>
  <si>
    <t>Install pinned Flutter 3.32.8 + Android tooling</t>
  </si>
  <si>
    <t>P1-T009</t>
  </si>
  <si>
    <t>Analyze/test/build + actual Android boot</t>
  </si>
  <si>
    <t>P1-T010</t>
  </si>
  <si>
    <t>Analyze/test/build + actual Web boot</t>
  </si>
  <si>
    <t>P1-T011</t>
  </si>
  <si>
    <t>Hosted CI green</t>
  </si>
  <si>
    <t>P1-T012</t>
  </si>
  <si>
    <t>Full clean reproduction</t>
  </si>
  <si>
    <t>P2-T001</t>
  </si>
  <si>
    <t>P2</t>
  </si>
  <si>
    <t>Chỉ lập Phase 2 contract sau khi Phase 1 PASS</t>
  </si>
  <si>
    <t>TẠM HOÃN</t>
  </si>
  <si>
    <t>Chi tiết theo Task ID · trạng thái cập nhật ở Công việc.</t>
  </si>
  <si>
    <t>Nhóm</t>
  </si>
  <si>
    <t>Phụ thuộc</t>
  </si>
  <si>
    <t>Việc tiếp theo</t>
  </si>
  <si>
    <t>Ghi chú</t>
  </si>
  <si>
    <t>V3.2</t>
  </si>
  <si>
    <t>Giữ byte-exact + provenance</t>
  </si>
  <si>
    <t>Original package đã tìm thấy.</t>
  </si>
  <si>
    <t>Run exact validator</t>
  </si>
  <si>
    <t>Run exact SQL suite</t>
  </si>
  <si>
    <t>Backend</t>
  </si>
  <si>
    <t>Install/verify Python 3.12 + rerun</t>
  </si>
  <si>
    <t>3.14.7 result kept as compatibility evidence only.</t>
  </si>
  <si>
    <t>Database</t>
  </si>
  <si>
    <t>Cần PostgreSQL authenticated role/session</t>
  </si>
  <si>
    <t>Không lưu password trong workbook.</t>
  </si>
  <si>
    <t>Run migrations + DB suite on mingo_test</t>
  </si>
  <si>
    <t>API/Worker</t>
  </si>
  <si>
    <t>Boot API/worker và lưu log/HTTP evidence</t>
  </si>
  <si>
    <t>Flutter</t>
  </si>
  <si>
    <t>Install toolchain + flutter doctor</t>
  </si>
  <si>
    <t>Flutter learner</t>
  </si>
  <si>
    <t>Run trên emulator/device; lưu bằng chứng</t>
  </si>
  <si>
    <t>Flutter staff</t>
  </si>
  <si>
    <t>Run Chrome; lưu bằng chứng</t>
  </si>
  <si>
    <t>CI</t>
  </si>
  <si>
    <t>Cần hosted Git remote; push main và chạy workflow</t>
  </si>
  <si>
    <t>QA</t>
  </si>
  <si>
    <t>P1-T001..P1-T011</t>
  </si>
  <si>
    <t>Fresh clone; không dùng cache/local hidden state</t>
  </si>
  <si>
    <t>UX/UI</t>
  </si>
  <si>
    <t>Phase 1 XONG</t>
  </si>
  <si>
    <t>Không start implementation sớm</t>
  </si>
  <si>
    <t>Người kiểm tra và bằng chứng hoàn thành.</t>
  </si>
  <si>
    <t>Người kiểm tra</t>
  </si>
  <si>
    <t>Trạng thái nhóm tự cập nhật từ công việc.</t>
  </si>
  <si>
    <t>Task nguồn</t>
  </si>
  <si>
    <t>V3.2 original</t>
  </si>
  <si>
    <t>Import exact package + rerun 115 contract + 22 SQL.</t>
  </si>
  <si>
    <t>P1-T001..T003</t>
  </si>
  <si>
    <t>PostgreSQL</t>
  </si>
  <si>
    <t>Provision/access DB → migration → 6 DB tests.</t>
  </si>
  <si>
    <t>P1-T005..T006</t>
  </si>
  <si>
    <t>API + Worker</t>
  </si>
  <si>
    <t>DB khỏe → /ready=200 → worker probe PASS.</t>
  </si>
  <si>
    <t>Flutter learner/staff</t>
  </si>
  <si>
    <t>Toolchain → learner Android boot + staff Web boot.</t>
  </si>
  <si>
    <t>P1-T008..T010</t>
  </si>
  <si>
    <t>Hosted CI</t>
  </si>
  <si>
    <t>Có remote → chạy workflow từ clean checkout.</t>
  </si>
  <si>
    <t>Clean reproduction</t>
  </si>
  <si>
    <t>Clone sạch và chạy toàn stack.</t>
  </si>
  <si>
    <t>Thứ tự triển khai</t>
  </si>
  <si>
    <t>Import + rerun V3.2 original</t>
  </si>
  <si>
    <t>Đóng nguồn chuẩn Phase 0 trong canonical repo.</t>
  </si>
  <si>
    <t>PostgreSQL + migration + DB tests</t>
  </si>
  <si>
    <t>Đóng runtime backend quan trọng nhất.</t>
  </si>
  <si>
    <t>API readiness + Worker</t>
  </si>
  <si>
    <t>Chứng minh backend foundation chạy thật.</t>
  </si>
  <si>
    <t>Flutter learner + staff</t>
  </si>
  <si>
    <t>Chứng minh Android/Web chạy thật.</t>
  </si>
  <si>
    <t>Chứng minh clean checkout chạy được.</t>
  </si>
  <si>
    <t>Bằng chứng cuối trước khi đóng Phase 1.</t>
  </si>
  <si>
    <t>M I N G O    /    KẾ HOẠCH</t>
  </si>
  <si>
    <t>Phase 0–17 · mỗi dòng là một giai đoạn.</t>
  </si>
  <si>
    <t>Giai đoạn</t>
  </si>
  <si>
    <t>Điều kiện hoàn thành</t>
  </si>
  <si>
    <t>Kiến trúc &amp; Hợp đồng hệ thống</t>
  </si>
  <si>
    <t>Chốt luật kiến trúc/contracts trước khi code.</t>
  </si>
  <si>
    <t>V3.2.0 + packaged 115 contract + 22 SQL evidence.</t>
  </si>
  <si>
    <t>XONG</t>
  </si>
  <si>
    <t>Phase 0 hoàn tất.</t>
  </si>
  <si>
    <t>Dựng backend/DB/worker/Flutter shells/CI và chứng minh runtime.</t>
  </si>
  <si>
    <t>V3.2 rerun + DB/worker + Flutter + CI + clean reproduction.</t>
  </si>
  <si>
    <t>Gate chưa pass.</t>
  </si>
  <si>
    <t>Hệ thống UX/UI sản phẩm</t>
  </si>
  <si>
    <t>Thiết kế user journey, IA, design system, screen specs.</t>
  </si>
  <si>
    <t>UX system được duyệt và trace tới PRD.</t>
  </si>
  <si>
    <t>Chỉ đủ điều kiện khi Phase 1 PASS.</t>
  </si>
  <si>
    <t>Tài khoản, đăng nhập &amp; phân quyền</t>
  </si>
  <si>
    <t>Login/session/role/permission thật ở server.</t>
  </si>
  <si>
    <t>Authz/security tests pass.</t>
  </si>
  <si>
    <t>Nền tảng nội dung &amp; xuất bản</t>
  </si>
  <si>
    <t>Author/review/license/publish/versioned content.</t>
  </si>
  <si>
    <t>Publishing + provenance + immutable revisions.</t>
  </si>
  <si>
    <t>Lõi học tập &amp; đánh giá</t>
  </si>
  <si>
    <t>Objectives, attempts, Check, progress, review, placement.</t>
  </si>
  <si>
    <t>Learning business rules chạy đúng.</t>
  </si>
  <si>
    <t>Offline-first &amp; đồng bộ</t>
  </si>
  <si>
    <t>Học khi mất mạng; replay/idempotency/reconciliation.</t>
  </si>
  <si>
    <t>Offline adversarial tests pass.</t>
  </si>
  <si>
    <t>Worker bền vững &amp; xử lý nền</t>
  </si>
  <si>
    <t>Jobs/retry/fencing/scheduling/projections.</t>
  </si>
  <si>
    <t>Worker failure/race tests pass.</t>
  </si>
  <si>
    <t>Phân tích học tập &amp; dữ liệu</t>
  </si>
  <si>
    <t>Event model, point-in-time, source capture, projections.</t>
  </si>
  <si>
    <t>No leakage + telemetry quality.</t>
  </si>
  <si>
    <t>Learning Intelligence</t>
  </si>
  <si>
    <t>Mastery/knowledge state/adaptive path dựa product evidence.</t>
  </si>
  <si>
    <t>Evaluation contract + fallback.</t>
  </si>
  <si>
    <t>Không freeze final mastery trước phase này.</t>
  </si>
  <si>
    <t>Production ML / Dự đoán rủi ro sớm</t>
  </si>
  <si>
    <t>Risk prediction dùng product data.</t>
  </si>
  <si>
    <t>Validated target/horizon/model; no leakage.</t>
  </si>
  <si>
    <t>Khuyến nghị &amp; can thiệp</t>
  </si>
  <si>
    <t>Decision/reason/exposure/execution/outcome.</t>
  </si>
  <si>
    <t>Auditable recommendation + fallback.</t>
  </si>
  <si>
    <t>Sản phẩm cho Instructor / Advisor / Admin</t>
  </si>
  <si>
    <t>Staff workflows hoàn chỉnh.</t>
  </si>
  <si>
    <t>Permissioned staff product.</t>
  </si>
  <si>
    <t>Gia cố QA / Bảo mật / Privacy / Hiệu năng</t>
  </si>
  <si>
    <t>Security/privacy/performance/backup/observability.</t>
  </si>
  <si>
    <t>Production hardening gate.</t>
  </si>
  <si>
    <t>Internal Alpha</t>
  </si>
  <si>
    <t>Đội nội bộ dùng end-to-end.</t>
  </si>
  <si>
    <t>Critical flows ổn định.</t>
  </si>
  <si>
    <t>Closed Beta / Pilot</t>
  </si>
  <si>
    <t>Nhóm user nhỏ dùng thật (~5 theo nguồn lực).</t>
  </si>
  <si>
    <t>Usability/trust/reliability evidence.</t>
  </si>
  <si>
    <t>Không claim causal efficacy.</t>
  </si>
  <si>
    <t>Production Launch</t>
  </si>
  <si>
    <t>Public release có rollback/monitoring/support.</t>
  </si>
  <si>
    <t>Launch readiness pass.</t>
  </si>
  <si>
    <t>Growth / Experimentation / Continuous Learning</t>
  </si>
  <si>
    <t>Experiment, content growth, model/policy improvement.</t>
  </si>
  <si>
    <t>Continuous measurement/governance.</t>
  </si>
  <si>
    <t>Điều kiện nghiệm thu · trạng thái liên kết với Công việc.</t>
  </si>
  <si>
    <t>#</t>
  </si>
  <si>
    <t>Việc cần làm</t>
  </si>
  <si>
    <t>PASS khi</t>
  </si>
  <si>
    <t>Import exact original V3.2 completed package vào repo + provenance.</t>
  </si>
  <si>
    <t>Exact package giữ nguyên; hash/provenance rõ.</t>
  </si>
  <si>
    <t>Rerun original contract suite.</t>
  </si>
  <si>
    <t>115/115 PASS.</t>
  </si>
  <si>
    <t>Bước 1</t>
  </si>
  <si>
    <t>Rerun original SQL suite.</t>
  </si>
  <si>
    <t>22/22 PASS.</t>
  </si>
  <si>
    <t>Python</t>
  </si>
  <si>
    <t>Rerun backend bằng Python 3.12 canonical.</t>
  </si>
  <si>
    <t>Install/Ruff/tests/API smoke PASS.</t>
  </si>
  <si>
    <t>Có DB chính mingo + mingo_test + role mingo_app.</t>
  </si>
  <si>
    <t>Kết nối an toàn; không commit secret.</t>
  </si>
  <si>
    <t>Run migration + 6 integration/concurrency tests.</t>
  </si>
  <si>
    <t>6 PASS / 0 fail / 0 skip.</t>
  </si>
  <si>
    <t>Bước 5</t>
  </si>
  <si>
    <t>Boot API + worker với DB khỏe.</t>
  </si>
  <si>
    <t>live=200, ready=200, worker probe PASS.</t>
  </si>
  <si>
    <t>Bước 6</t>
  </si>
  <si>
    <t>Install Flutter 3.32.8 + Android tooling.</t>
  </si>
  <si>
    <t>flutter doctor đủ điều kiện learner.</t>
  </si>
  <si>
    <t>Analyze/test/build + actual Android boot.</t>
  </si>
  <si>
    <t>App mở thật trên emulator/device.</t>
  </si>
  <si>
    <t>Bước 8</t>
  </si>
  <si>
    <t>Analyze/test/build + actual Web boot.</t>
  </si>
  <si>
    <t>Web app mở thật.</t>
  </si>
  <si>
    <t>Hosted remote + workflow clean checkout.</t>
  </si>
  <si>
    <t>Backend + Flutter + V3.2 jobs xanh.</t>
  </si>
  <si>
    <t>Clean reproduce</t>
  </si>
  <si>
    <t>Clone sạch và rerun full stack.</t>
  </si>
  <si>
    <t>Không dựa cache/local hidden state.</t>
  </si>
  <si>
    <t>Bước 1–11</t>
  </si>
  <si>
    <t>M I N G O    /    SẢN PHẨM</t>
  </si>
  <si>
    <t>Adaptive Language Learning &amp; Early Intervention Platform</t>
  </si>
  <si>
    <t>Mingo là nền tảng học ngôn ngữ thích ứng, khởi đầu với tiếng Anh. Người học đi qua các chu kỳ học ngắn (Learning Cycle) có mục tiêu học rõ ràng, hoạt động tự nhớ/truy xuất (Retrieval), phản hồi và bài kiểm tra độc lập (Check). Hệ thống lưu bằng chứng học tập theo thời gian, hỗ trợ offline, và chỉ sau khi dữ liệu sản phẩm đủ đáng tin mới bổ sung Learning Intelligence → Risk Prediction → Recommendation/Intervention. Mingo phải vẫn hoạt động được khi ML/recommendation bị tắt.</t>
  </si>
  <si>
    <t>Bốn nguyên tắc nền tảng</t>
  </si>
  <si>
    <t>01</t>
  </si>
  <si>
    <t>Mingo học theo bằng chứng</t>
  </si>
  <si>
    <t>Không biến streak/click/skip thành mastery.</t>
  </si>
  <si>
    <t>Máy chủ là nguồn quyết định chính</t>
  </si>
  <si>
    <t>Client gửi hành động/dữ liệu quan sát; server quyết định điểm, tiến độ, quyền.</t>
  </si>
  <si>
    <t>Offline không được tạo dữ liệu trùng</t>
  </si>
  <si>
    <t>Command và telemetry tách riêng; retry phải idempotent.</t>
  </si>
  <si>
    <t>ML là lớp tăng cường</t>
  </si>
  <si>
    <t>Không có ML/recommendation thì sản phẩm vẫn phải học được.</t>
  </si>
  <si>
    <t>Từ lúc mở app đến khi tích lũy bằng chứng học tập.</t>
  </si>
  <si>
    <t>Bước</t>
  </si>
  <si>
    <t>Nghiệp vụ</t>
  </si>
  <si>
    <t>Hệ thống làm gì</t>
  </si>
  <si>
    <t>Mở app</t>
  </si>
  <si>
    <t>Người học vào Mingo; có thể chọn mục tiêu cá nhân.</t>
  </si>
  <si>
    <t>Placement ngắn hoặc bỏ qua</t>
  </si>
  <si>
    <t>Tạo trạng thái bắt đầu tạm thời (provisional); không ép placement dài.</t>
  </si>
  <si>
    <t>Chọn mục tiêu học / chu kỳ học</t>
  </si>
  <si>
    <t>Backend chọn nội dung đủ điều kiện theo curriculum, review, focus và prerequisite.</t>
  </si>
  <si>
    <t>Review</t>
  </si>
  <si>
    <t>Ôn đúng thứ cần ôn; không tạo infinite scroll.</t>
  </si>
  <si>
    <t>Learn</t>
  </si>
  <si>
    <t>Giải thích/ngữ cảnh ngắn phù hợp Vocabulary, Grammar hoặc Listening.</t>
  </si>
  <si>
    <t>Retrieve</t>
  </si>
  <si>
    <t>Người học phải tự nhớ/trả lời; đây là bằng chứng quan trọng.</t>
  </si>
  <si>
    <t>Transfer</t>
  </si>
  <si>
    <t>Dùng kiến thức trong ngữ cảnh khác.</t>
  </si>
  <si>
    <t>Check</t>
  </si>
  <si>
    <t>Bài kiểm tra độc lập; server là nguồn quyết định điểm chính.</t>
  </si>
  <si>
    <t>Feedback + lưu evidence</t>
  </si>
  <si>
    <t>Giữ đúng first response, retry, hint, skip và điều kiện assessment.</t>
  </si>
  <si>
    <t>Kết thúc cycle</t>
  </si>
  <si>
    <t>Có điểm dừng rõ; người học chọn tiếp tục hoặc dừng.</t>
  </si>
  <si>
    <t>Tích lũy theo thời gian</t>
  </si>
  <si>
    <t>Review scheduler và analytics tích lũy; intelligence/risk/recommendation đến ở phase sau.</t>
  </si>
  <si>
    <t>Các nguyên tắc dễ hiểu sai khi triển khai.</t>
  </si>
  <si>
    <t>Chủ đề</t>
  </si>
  <si>
    <t>Nội dung</t>
  </si>
  <si>
    <t>First response</t>
  </si>
  <si>
    <t>Câu trả lời đầu tiên phải được giữ. Retry đúng sau đó không biến lịch sử thành 'đúng ngay từ đầu'.</t>
  </si>
  <si>
    <t>Hint</t>
  </si>
  <si>
    <t>Đúng sau hint = đúng có hỗ trợ (assisted), không phải đúng độc lập (unaided).</t>
  </si>
  <si>
    <t>Skip</t>
  </si>
  <si>
    <t>Skip được ghi lại nhưng KHÔNG phải completion, mastery hay progress.</t>
  </si>
  <si>
    <t>Bài kiểm tra độc lập; không có hint trước khi submit.</t>
  </si>
  <si>
    <t>Audio replay</t>
  </si>
  <si>
    <t>Telemetry ở client không chứng minh chắc chắn người dùng đã nghe bao nhiêu lần và không tự quyết điểm chuẩn.</t>
  </si>
  <si>
    <t>Content revision</t>
  </si>
  <si>
    <t>Nội dung đã publish là bất biến; muốn sửa phải tạo revision mới.</t>
  </si>
  <si>
    <t>Attempt</t>
  </si>
  <si>
    <t>Attempt phải pin đúng revision mà learner đã thấy lúc làm.</t>
  </si>
  <si>
    <t>Offline</t>
  </si>
  <si>
    <t>Business command và telemetry đi hai luồng riêng; retry không được tạo progress hai lần.</t>
  </si>
  <si>
    <t>Mastery / Risk</t>
  </si>
  <si>
    <t>Mastery và Risk là hai khái niệm khác nhau.</t>
  </si>
  <si>
    <t>Recommendation</t>
  </si>
  <si>
    <t>Prediction ≠ Decision ≠ Exposure ≠ Execution ≠ Outcome.</t>
  </si>
  <si>
    <t>ML OFF</t>
  </si>
  <si>
    <t>Khi ML/recommendation bị tắt, curriculum + review fallback vẫn phải tạo được chu kỳ học hợp lệ.</t>
  </si>
  <si>
    <t>Muốn thay đổi nội dung ở đây: tạo đề nghị thay đổi.</t>
  </si>
  <si>
    <t>V3.2.0 completed baseline là source of truth của Phase 0.</t>
  </si>
  <si>
    <t>Stack</t>
  </si>
  <si>
    <t>Flutter Android-first cho learner; Flutter Web cho staff; FastAPI/Python; PostgreSQL; Object Storage.</t>
  </si>
  <si>
    <t>Architecture</t>
  </si>
  <si>
    <t>Modular monolith; API process + durable worker dùng cùng codebase.</t>
  </si>
  <si>
    <t>Authority</t>
  </si>
  <si>
    <t>Máy chủ quyết định canonical scoring, progress và permission.</t>
  </si>
  <si>
    <t>Command queue tách telemetry queue.</t>
  </si>
  <si>
    <t>Content</t>
  </si>
  <si>
    <t>Published content immutable/versioned; attempt/enrollment pin exact revision.</t>
  </si>
  <si>
    <t>Analytics time</t>
  </si>
  <si>
    <t>Phân biệt event time và knowledge/availability/source capture.</t>
  </si>
  <si>
    <t>Mastery khác Risk.</t>
  </si>
  <si>
    <t>Risk chỉ là input tùy chọn; ML/recommendation OFF thì app vẫn học được.</t>
  </si>
  <si>
    <t>Lifecycle</t>
  </si>
  <si>
    <t>Prediction / Decision / Exposure / Execution / Outcome tách riêng.</t>
  </si>
  <si>
    <t>Hạ tầng</t>
  </si>
  <si>
    <t>Không Kafka/Kubernetes/microservices/warehouse/external feature store nếu chưa có requirement/load thật.</t>
  </si>
  <si>
    <t>Một Mingo: DB chính `mingo`, DB test disposable `mingo_test`, role `mingo_app`; không chia DB theo phase.</t>
  </si>
  <si>
    <t>Quản trị phase</t>
  </si>
  <si>
    <t>Mỗi phase phải có deliverables + acceptance criteria + gate rồi mới qua phase sau.</t>
  </si>
  <si>
    <t>ML production</t>
  </si>
  <si>
    <t>OULAD/UCI chỉ là research baseline; production model phải đánh giá bằng product data.</t>
  </si>
  <si>
    <t>Các giả thuyết còn có thể thay đổi sau đo lường hoặc pilot.</t>
  </si>
  <si>
    <t>Tên Mingo</t>
  </si>
  <si>
    <t>Đang là working name; chưa freeze final brand.</t>
  </si>
  <si>
    <t>~5 phút / cycle</t>
  </si>
  <si>
    <t>UX hypothesis; có thể đổi sau đo/pilot.</t>
  </si>
  <si>
    <t>1 retry</t>
  </si>
  <si>
    <t>Retry count là hypothesis; việc giữ first response là nguyên tắc mạnh hơn.</t>
  </si>
  <si>
    <t>2 lần nghe trong Check</t>
  </si>
  <si>
    <t>Hypothesis; server authority mới là invariant.</t>
  </si>
  <si>
    <t>Placement 6–9 câu</t>
  </si>
  <si>
    <t>Thiết kế provisional; không phải CEFR cut score cuối.</t>
  </si>
  <si>
    <t>Step-up threshold</t>
  </si>
  <si>
    <t>2 evidence + 1 Check + max 1 challenge là policy hypothesis.</t>
  </si>
  <si>
    <t>Final mastery formula</t>
  </si>
  <si>
    <t>Chờ Phase 9 — Learning Intelligence.</t>
  </si>
  <si>
    <t>Final risk label/model/weights</t>
  </si>
  <si>
    <t>Chờ Phase 10 + product data.</t>
  </si>
  <si>
    <t>Recommendation ranking weights</t>
  </si>
  <si>
    <t>Chờ Phase 11.</t>
  </si>
  <si>
    <t>Nguồn chuẩn Phase 0 · phạm vi đã và chưa được chứng minh.</t>
  </si>
  <si>
    <t>Tên package</t>
  </si>
  <si>
    <t>ADAPTIVE_LANGUAGE_LEARNING_BASELINE_COMPLETED.zip</t>
  </si>
  <si>
    <t>Version</t>
  </si>
  <si>
    <t>3.2.0</t>
  </si>
  <si>
    <t>Vai trò</t>
  </si>
  <si>
    <t>Canonical Phase 0 architecture/contract baseline</t>
  </si>
  <si>
    <t>Trạng thái gốc</t>
  </si>
  <si>
    <t>Completed architecture and contract baseline; GO for core implementation; application runtime not validated</t>
  </si>
  <si>
    <t>Kết quả contract trong package</t>
  </si>
  <si>
    <t>115 PASS / 0 FAIL</t>
  </si>
  <si>
    <t>Kết quả SQL trong package</t>
  </si>
  <si>
    <t>22 PASS / 0 FAIL</t>
  </si>
  <si>
    <t>Completed package SHA-256</t>
  </si>
  <si>
    <t>1b4c9c10afad5245517d2593e5bbd98c7f233fc662c221ee8332cc386c83fe0a</t>
  </si>
  <si>
    <t>V3 source archive SHA-256</t>
  </si>
  <si>
    <t>7d46d057fab627d442a62aa5f33fbe9e63216ebbd6b04dc041e4505a7e4b6f55</t>
  </si>
  <si>
    <t>Hiện tại trong Mingo</t>
  </si>
  <si>
    <t>Original đã TÌM THẤY; canonical import/rerun vẫn đang chờ.</t>
  </si>
  <si>
    <t>V3.2 chứng minh</t>
  </si>
  <si>
    <t>Architecture/contracts/schemas/DDL/API/protocol invariants được định nghĩa và packaged verification đã pass.</t>
  </si>
  <si>
    <t>V3.2 chưa chứng minh</t>
  </si>
  <si>
    <t>FastAPI runtime thật, native PostgreSQL concurrency, Flutter device, hosted CI, production security/scale.</t>
  </si>
  <si>
    <t>Cách dùng</t>
  </si>
  <si>
    <t>Coder implement theo exact V3.2. Nếu phát hiện blocking defect thật → Issue/Change Request; không tự sửa business rule.</t>
  </si>
  <si>
    <t>M I N G O    /    VẤN ĐỀ &amp; THAY ĐỔI</t>
  </si>
  <si>
    <t>Theo dõi issue, mức ưu tiên và người xử lý.</t>
  </si>
  <si>
    <t>Issue ID</t>
  </si>
  <si>
    <t>Task liên quan</t>
  </si>
  <si>
    <t>II-01</t>
  </si>
  <si>
    <t>TÌM THẤY / CHỜ CHẠY LẠI</t>
  </si>
  <si>
    <t>II-02</t>
  </si>
  <si>
    <t>Hypothesis vs rule đã chốt</t>
  </si>
  <si>
    <t>MỞ</t>
  </si>
  <si>
    <t>II-03</t>
  </si>
  <si>
    <t>Listening replay authority</t>
  </si>
  <si>
    <t>II-04</t>
  </si>
  <si>
    <t>PostgreSQL runtime</t>
  </si>
  <si>
    <t>P1-T005..T007</t>
  </si>
  <si>
    <t>II-05</t>
  </si>
  <si>
    <t>Flutter runtime</t>
  </si>
  <si>
    <t>II-06</t>
  </si>
  <si>
    <t>II-07</t>
  </si>
  <si>
    <t>Old package layout mismatch</t>
  </si>
  <si>
    <t>ĐÃ GIẢI QUYẾT</t>
  </si>
  <si>
    <t>II-08</t>
  </si>
  <si>
    <t>Detached HEAD bundle</t>
  </si>
  <si>
    <t>II-09</t>
  </si>
  <si>
    <t>Windows object storage</t>
  </si>
  <si>
    <t>Mô tả, hướng xử lý và bằng chứng theo Issue ID.</t>
  </si>
  <si>
    <t>Mô tả</t>
  </si>
  <si>
    <t>Cách xử lý</t>
  </si>
  <si>
    <t>Bằng chứng / commit</t>
  </si>
  <si>
    <t>Original package đã tìm được nhưng chưa import/rerun trong canonical repo.</t>
  </si>
  <si>
    <t>Import exact package + rerun 115+22.</t>
  </si>
  <si>
    <t>MVP learning hypothesis có thể bị hiểu nhầm thành architecture/scoring invariant.</t>
  </si>
  <si>
    <t>Client playback telemetry không chứng minh true listen/canonical score.</t>
  </si>
  <si>
    <t>Map exact V3.2 contract; giữ server authority.</t>
  </si>
  <si>
    <t>DB tests/migrations/worker/readiness chưa proven.</t>
  </si>
  <si>
    <t>Có DB access rồi chạy runtime verification.</t>
  </si>
  <si>
    <t>Chưa có toolchain/actual boot evidence.</t>
  </si>
  <si>
    <t>Install pinned Flutter/Android + run.</t>
  </si>
  <si>
    <t>Chưa có hosted remote/run evidence.</t>
  </si>
  <si>
    <t>Configure remote and run workflow.</t>
  </si>
  <si>
    <t>Source/full-pack path mismatch trong handoff cũ.</t>
  </si>
  <si>
    <t>Canonical layout/provenance đã xử lý.</t>
  </si>
  <si>
    <t>fc6e40e</t>
  </si>
  <si>
    <t>Bundle cũ clone ra detached HEAD.</t>
  </si>
  <si>
    <t>Canonical named main bundle đã xử lý.</t>
  </si>
  <si>
    <t>Windows path/fsync portability issue.</t>
  </si>
  <si>
    <t>Fix + rerun evidence.</t>
  </si>
  <si>
    <t>51b741e</t>
  </si>
  <si>
    <t>Dành cho thay đổi nội dung đã chốt. Hiện chưa có đề nghị.</t>
  </si>
  <si>
    <t>CR ID</t>
  </si>
  <si>
    <t>Ngày</t>
  </si>
  <si>
    <t>Người đề nghị</t>
  </si>
  <si>
    <t>Nội dung muốn đổi</t>
  </si>
  <si>
    <t>Lý do</t>
  </si>
  <si>
    <t>Ảnh hưởng</t>
  </si>
  <si>
    <t>Test / migration</t>
  </si>
  <si>
    <t>Người duyệt</t>
  </si>
  <si>
    <t>Thảo luận và hành động ngoài danh sách task.</t>
  </si>
  <si>
    <t>NOTE-001</t>
  </si>
  <si>
    <t>NOTE-002</t>
  </si>
  <si>
    <t>Original completed package đã được cung cấp sau khi trước đó repo không có.</t>
  </si>
  <si>
    <t>Không chia DB theo phase.</t>
  </si>
  <si>
    <t>Import/rerun original suites.</t>
  </si>
  <si>
    <t>Dùng mingo + mingo_test + role mingo_app.</t>
  </si>
  <si>
    <t>Liên kết</t>
  </si>
  <si>
    <t>P1-T001 / II-01</t>
  </si>
  <si>
    <t>Database decision</t>
  </si>
  <si>
    <t>M I N G O    /    KIỂM CHỨNG</t>
  </si>
  <si>
    <t>Trạng thái test / runtime / CI. Phạm vi và giới hạn ở sheet kế tiếp.</t>
  </si>
  <si>
    <t>ID</t>
  </si>
  <si>
    <t>Khu vực</t>
  </si>
  <si>
    <t>Kiểm tra</t>
  </si>
  <si>
    <t>Nguồn</t>
  </si>
  <si>
    <t>E01</t>
  </si>
  <si>
    <t>Package provenance</t>
  </si>
  <si>
    <t>PASS</t>
  </si>
  <si>
    <t>Artifact audit</t>
  </si>
  <si>
    <t>E02</t>
  </si>
  <si>
    <t>Contract packaged validation</t>
  </si>
  <si>
    <t>PASS LỊCH SỬ</t>
  </si>
  <si>
    <t>V3.2 package</t>
  </si>
  <si>
    <t>E03</t>
  </si>
  <si>
    <t>SQL packaged validation</t>
  </si>
  <si>
    <t>E04</t>
  </si>
  <si>
    <t>Canonical contract rerun</t>
  </si>
  <si>
    <t>CHỜ CHẠY</t>
  </si>
  <si>
    <t>E05</t>
  </si>
  <si>
    <t>Canonical SQL rerun</t>
  </si>
  <si>
    <t>E06</t>
  </si>
  <si>
    <t>Windows focused verification</t>
  </si>
  <si>
    <t>Mingo evidence</t>
  </si>
  <si>
    <t>E07</t>
  </si>
  <si>
    <t>API</t>
  </si>
  <si>
    <t>Liveness</t>
  </si>
  <si>
    <t>E08</t>
  </si>
  <si>
    <t>Readiness</t>
  </si>
  <si>
    <t>E09</t>
  </si>
  <si>
    <t>Clean clone</t>
  </si>
  <si>
    <t>Backend-only</t>
  </si>
  <si>
    <t>E10</t>
  </si>
  <si>
    <t>6 integration/concurrency tests</t>
  </si>
  <si>
    <t>E11</t>
  </si>
  <si>
    <t>Worker</t>
  </si>
  <si>
    <t>DB probe/runtime</t>
  </si>
  <si>
    <t>E12</t>
  </si>
  <si>
    <t>Analyze/test/build/Android boot</t>
  </si>
  <si>
    <t>E13</t>
  </si>
  <si>
    <t>Analyze/test/build/Web boot</t>
  </si>
  <si>
    <t>E14</t>
  </si>
  <si>
    <t>Workflow execution</t>
  </si>
  <si>
    <t>E15</t>
  </si>
  <si>
    <t>Full stack</t>
  </si>
  <si>
    <t>Kết quả quan sát và giới hạn. Không đồng nhất PASS lịch sử với PASS hiện tại.</t>
  </si>
  <si>
    <t>Kết quả quan sát</t>
  </si>
  <si>
    <t>Phạm vi / giới hạn</t>
  </si>
  <si>
    <t>Exact completed package + hash lineage đã tìm thấy.</t>
  </si>
  <si>
    <t>Phase 0 provenance.</t>
  </si>
  <si>
    <t>115 PASS / 0 FAIL trong original package.</t>
  </si>
  <si>
    <t>Không đồng nghĩa đã rerun trong canonical Mingo.</t>
  </si>
  <si>
    <t>22 PASS / 0 FAIL trong original package.</t>
  </si>
  <si>
    <t>PGlite packaged evidence; native concurrency là gate khác.</t>
  </si>
  <si>
    <t>Chưa chạy exact 115 checks trong canonical Mingo.</t>
  </si>
  <si>
    <t>Cần import original + requirements.</t>
  </si>
  <si>
    <t>Chưa chạy exact 22 SQL checks trong canonical Mingo.</t>
  </si>
  <si>
    <t>Cần import original + npm setup.</t>
  </si>
  <si>
    <t>Locked install + Ruff + 9 tests pass.</t>
  </si>
  <si>
    <t>6 DB + 1 symlink skipped; final Python 3.12 rerun pending.</t>
  </si>
  <si>
    <t>HTTP 200.</t>
  </si>
  <si>
    <t>API process boot proven.</t>
  </si>
  <si>
    <t>HTTP 503 khi chưa có DB.</t>
  </si>
  <si>
    <t>Phải trở thành 200 khi DB healthy.</t>
  </si>
  <si>
    <t>Backend clean clone verification pass.</t>
  </si>
  <si>
    <t>Không phải full-stack reproduction.</t>
  </si>
  <si>
    <t>Chưa chạy trên disposable test DB thật.</t>
  </si>
  <si>
    <t>Cần mingo_test.</t>
  </si>
  <si>
    <t>Chưa proven.</t>
  </si>
  <si>
    <t>Cần DB.</t>
  </si>
  <si>
    <t>Chưa chạy.</t>
  </si>
  <si>
    <t>Toolchain chưa có.</t>
  </si>
  <si>
    <t>Chưa có hosted run.</t>
  </si>
  <si>
    <t>Chưa có remote.</t>
  </si>
  <si>
    <t>Chưa verify.</t>
  </si>
  <si>
    <t>Cần các gate trước.</t>
  </si>
  <si>
    <t>M I N G O    /    HƯỚNG DẪN</t>
  </si>
  <si>
    <t>Năm quy tắc chung của dự án.</t>
  </si>
  <si>
    <t>Quy tắc</t>
  </si>
  <si>
    <t>Ý nghĩa</t>
  </si>
  <si>
    <t>Không tự sửa nội dung đã chốt.</t>
  </si>
  <si>
    <t>Muốn đổi kiến trúc/business rule đã khóa → tạo Đề nghị thay đổi (Change Request).</t>
  </si>
  <si>
    <t>Không đánh XONG chỉ vì có code.</t>
  </si>
  <si>
    <t>XONG phải có bằng chứng phù hợp: test, runtime, CI hoặc review theo gate.</t>
  </si>
  <si>
    <t>Phase 2 chưa được bắt đầu chính thức.</t>
  </si>
  <si>
    <t>Chỉ đủ điều kiện khi toàn bộ task bắt buộc của Phase 1 XONG.</t>
  </si>
  <si>
    <t>Task là nguồn trạng thái hằng ngày.</t>
  </si>
  <si>
    <t>Không ghi mật khẩu/token vào file.</t>
  </si>
  <si>
    <t>Chỉ ghi tên biến môi trường hoặc nơi lưu secret; tuyệt đối không ghi plaintext credential.</t>
  </si>
  <si>
    <t>Cập nhật theo thứ tự</t>
  </si>
  <si>
    <t>Cách cập nhật: 1) chọn Trạng thái → 2) điền Phụ trách/Người kiểm tra → 3) ghi Việc tiếp theo → 4) khi XONG phải điền Bằng chứng → 5) cập nhật ngày Cập nhật cuối.</t>
  </si>
  <si>
    <t>Giải thích các thuật ngữ dùng trong workbook.</t>
  </si>
  <si>
    <t>Giai đoạn phát triển có mục tiêu và điều kiện hoàn thành riêng.</t>
  </si>
  <si>
    <t>Gate</t>
  </si>
  <si>
    <t>Điều kiện bắt buộc phải đạt trước khi được coi phase đã hoàn thành.</t>
  </si>
  <si>
    <t>Blocker / Bị chặn</t>
  </si>
  <si>
    <t>Vướng mắc khiến task/gate chưa thể hoàn thành.</t>
  </si>
  <si>
    <t>Evidence / Bằng chứng</t>
  </si>
  <si>
    <t>Kết quả test, log, runtime, CI, artifact hoặc review chứng minh một claim.</t>
  </si>
  <si>
    <t>Issue / Vấn đề</t>
  </si>
  <si>
    <t>Bug, lỗi runtime, thiếu tooling, thiếu credential hoặc ambiguity cần xử lý.</t>
  </si>
  <si>
    <t>Change Request / Đề nghị thay đổi</t>
  </si>
  <si>
    <t>Quy trình xin phép thay đổi nội dung đã chốt.</t>
  </si>
  <si>
    <t>Baseline kiến trúc + hợp đồng hệ thống của Phase 0; không phải version app.</t>
  </si>
  <si>
    <t>Telemetry</t>
  </si>
  <si>
    <t>Dữ liệu quan sát hành vi như nghe audio, mở hint, xem màn hình; không tự quyết canonical score.</t>
  </si>
  <si>
    <t>← Mục lục</t>
  </si>
  <si>
    <t>Giữ phân loại rõ ở 08_San_pham; thay rule nền tảng phải có CR.</t>
  </si>
  <si>
    <t>Tổng quan và checklist Phase 1 tự đọc trạng thái từ 02_Cong_viec để tránh cập nhật lệch.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</si>
</sst>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7">
    <font>
      <sz val="11"/>
      <name val="Carlito"/>
    </font>
    <font>
      <sz val="11"/>
      <color rgb="FF242927"/>
      <name val="Segoe UI"/>
    </font>
    <font>
      <sz val="10"/>
      <color rgb="FF285B47"/>
      <name val="Segoe UI Semibold"/>
    </font>
    <font>
      <sz val="24"/>
      <color rgb="FF242927"/>
      <name val="Segoe UI Semibold"/>
    </font>
    <font>
      <sz val="11"/>
      <color rgb="FF6D746F"/>
      <name val="Segoe UI"/>
    </font>
    <font>
      <sz val="10"/>
      <color rgb="FF6D746F"/>
      <name val="Segoe UI Semibold"/>
    </font>
    <font>
      <sz val="12"/>
      <color rgb="FF242927"/>
      <name val="Segoe UI"/>
    </font>
    <font>
      <sz val="14"/>
      <color rgb="FF242927"/>
      <name val="Segoe UI Semibold"/>
    </font>
    <font>
      <sz val="11"/>
      <color rgb="FF285B47"/>
      <name val="Segoe UI"/>
    </font>
    <font>
      <sz val="12"/>
      <color rgb="FF242927"/>
      <name val="Segoe UI Semibold"/>
    </font>
    <font>
      <sz val="21"/>
      <color rgb="FF242927"/>
      <name val="Segoe UI Semibold"/>
    </font>
    <font>
      <sz val="13"/>
      <color rgb="FF242927"/>
      <name val="Segoe UI"/>
    </font>
    <font>
      <sz val="12"/>
      <color rgb="FF285B47"/>
      <name val="Segoe UI Semibold"/>
    </font>
    <font>
      <sz val="12"/>
      <color rgb="FF867039"/>
      <name val="Segoe UI Semibold"/>
    </font>
    <font>
      <sz val="12"/>
      <color rgb="FF285B47"/>
      <name val="Segoe UI"/>
    </font>
    <font>
      <u/>
      <sz val="11"/>
      <color theme="10"/>
      <name val="Carlito"/>
    </font>
    <font>
      <sz val="11"/>
      <color rgb="FF285B47"/>
      <name val="Segoe UI"/>
      <family val="2"/>
    </font>
  </fonts>
  <fills count="4">
    <fill>
      <patternFill patternType="none"/>
    </fill>
    <fill>
      <patternFill patternType="gray125"/>
    </fill>
    <fill>
      <patternFill patternType="solid">
        <fgColor rgb="FFFFFFFF"/>
      </patternFill>
    </fill>
    <fill>
      <patternFill patternType="solid">
        <fgColor rgb="FFF3F5F2"/>
      </patternFill>
    </fill>
  </fills>
  <borders count="2">
    <border>
      <left/>
      <right/>
      <top/>
      <bottom/>
      <diagonal/>
    </border>
    <border>
      <left/>
      <right/>
      <top/>
      <bottom style="thin">
        <color rgb="FFE2E6E2"/>
      </bottom>
      <diagonal/>
    </border>
  </borders>
  <cellStyleXfs count="2">
    <xf numFmtId="0" fontId="0" fillId="0" borderId="0"/>
    <xf numFmtId="0" fontId="15" fillId="0" borderId="0" applyNumberFormat="0" applyFill="0" applyBorder="0" applyAlignment="0" applyProtection="0"/>
  </cellStyleXfs>
  <cellXfs count="37">
    <xf numFmtId="0" fontId="0" fillId="0" borderId="0" xfId="0"/>
    <xf numFmtId="0" fontId="1" fillId="2" borderId="0" xfId="0" applyFont="1" applyFill="1" applyAlignment="1">
      <alignment vertical="center" wrapText="1"/>
    </xf>
    <xf numFmtId="0" fontId="1" fillId="2" borderId="1" xfId="0" applyFont="1" applyFill="1" applyBorder="1" applyAlignment="1">
      <alignment vertical="center" wrapText="1"/>
    </xf>
    <xf numFmtId="0" fontId="5" fillId="3" borderId="1" xfId="0" applyFont="1" applyFill="1" applyBorder="1" applyAlignment="1">
      <alignment vertical="center" wrapText="1"/>
    </xf>
    <xf numFmtId="164" fontId="1" fillId="2" borderId="1" xfId="0" applyNumberFormat="1" applyFont="1" applyFill="1" applyBorder="1" applyAlignment="1">
      <alignment vertical="center" wrapText="1"/>
    </xf>
    <xf numFmtId="164" fontId="1" fillId="2" borderId="0" xfId="0" applyNumberFormat="1" applyFont="1" applyFill="1" applyAlignment="1">
      <alignment vertical="center" wrapText="1"/>
    </xf>
    <xf numFmtId="164" fontId="0" fillId="0" borderId="0" xfId="0" applyNumberFormat="1"/>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horizontal="center"/>
    </xf>
    <xf numFmtId="0" fontId="16" fillId="2" borderId="0" xfId="1" applyFont="1" applyFill="1" applyAlignment="1">
      <alignment horizontal="right" vertical="center"/>
    </xf>
    <xf numFmtId="0" fontId="4" fillId="2" borderId="0" xfId="0" applyFont="1" applyFill="1" applyAlignment="1">
      <alignment vertical="center" wrapText="1"/>
    </xf>
    <xf numFmtId="0" fontId="16" fillId="2" borderId="0" xfId="1" applyFont="1" applyFill="1" applyAlignment="1">
      <alignment vertical="center" wrapText="1"/>
    </xf>
    <xf numFmtId="0" fontId="12" fillId="2" borderId="0" xfId="0" applyFont="1" applyFill="1" applyAlignment="1">
      <alignment vertical="center" wrapText="1"/>
    </xf>
    <xf numFmtId="0" fontId="13" fillId="2" borderId="0" xfId="0" applyFont="1" applyFill="1" applyAlignment="1">
      <alignment vertical="center" wrapText="1"/>
    </xf>
    <xf numFmtId="0" fontId="11" fillId="2" borderId="0" xfId="0" applyFont="1" applyFill="1" applyAlignment="1">
      <alignment vertical="center" wrapText="1"/>
    </xf>
    <xf numFmtId="0" fontId="2" fillId="2" borderId="0" xfId="0" applyFont="1" applyFill="1" applyAlignment="1">
      <alignment vertical="center" wrapText="1"/>
    </xf>
    <xf numFmtId="0" fontId="3" fillId="2" borderId="0" xfId="0" applyFont="1" applyFill="1" applyAlignment="1">
      <alignment vertical="center" wrapText="1"/>
    </xf>
    <xf numFmtId="0" fontId="10" fillId="2" borderId="0" xfId="0" applyFont="1" applyFill="1" applyAlignment="1">
      <alignment vertical="center" wrapText="1"/>
    </xf>
    <xf numFmtId="0" fontId="14" fillId="2" borderId="0" xfId="0" applyFont="1" applyFill="1" applyAlignment="1">
      <alignment vertical="center" wrapText="1"/>
    </xf>
    <xf numFmtId="0" fontId="7" fillId="2" borderId="0" xfId="0" applyFont="1" applyFill="1" applyAlignment="1">
      <alignment vertical="center" wrapText="1"/>
    </xf>
    <xf numFmtId="0" fontId="1" fillId="2" borderId="0" xfId="0" applyFont="1" applyFill="1" applyAlignment="1">
      <alignment vertical="center" wrapText="1"/>
    </xf>
    <xf numFmtId="0" fontId="8" fillId="2" borderId="0" xfId="0" applyFont="1" applyFill="1" applyAlignment="1">
      <alignment vertical="center" wrapText="1"/>
    </xf>
    <xf numFmtId="0" fontId="8" fillId="2" borderId="1" xfId="0" applyFont="1" applyFill="1" applyBorder="1" applyAlignment="1">
      <alignment vertical="center" wrapText="1"/>
    </xf>
    <xf numFmtId="0" fontId="9" fillId="2" borderId="0" xfId="0" applyFont="1" applyFill="1" applyAlignment="1">
      <alignment vertical="center" wrapText="1"/>
    </xf>
    <xf numFmtId="0" fontId="9" fillId="2" borderId="1" xfId="0" applyFont="1" applyFill="1" applyBorder="1" applyAlignment="1">
      <alignment vertical="center" wrapText="1"/>
    </xf>
    <xf numFmtId="0" fontId="1" fillId="2" borderId="1" xfId="0" applyFont="1" applyFill="1" applyBorder="1" applyAlignment="1">
      <alignment vertical="center" wrapText="1"/>
    </xf>
    <xf numFmtId="0" fontId="6" fillId="2" borderId="0" xfId="0" applyFont="1" applyFill="1" applyAlignment="1">
      <alignment vertical="center" wrapText="1"/>
    </xf>
    <xf numFmtId="164" fontId="1" fillId="2" borderId="0" xfId="0" applyNumberFormat="1" applyFont="1" applyFill="1" applyAlignment="1">
      <alignment vertical="center" wrapText="1"/>
    </xf>
    <xf numFmtId="0" fontId="1" fillId="2" borderId="0" xfId="0" applyFont="1" applyFill="1" applyAlignment="1">
      <alignment horizontal="center" vertical="center" wrapText="1"/>
    </xf>
    <xf numFmtId="9" fontId="10" fillId="2" borderId="0" xfId="0" applyNumberFormat="1" applyFont="1" applyFill="1" applyAlignment="1">
      <alignment horizontal="left" vertical="center" wrapText="1"/>
    </xf>
    <xf numFmtId="0" fontId="10" fillId="2" borderId="0" xfId="0" applyFont="1" applyFill="1" applyAlignment="1">
      <alignment horizontal="left" vertical="center" wrapText="1"/>
    </xf>
    <xf numFmtId="0" fontId="7" fillId="2" borderId="0" xfId="0" applyFont="1" applyFill="1" applyAlignment="1">
      <alignment horizontal="center" vertical="center" wrapText="1"/>
    </xf>
    <xf numFmtId="0" fontId="6" fillId="2" borderId="0" xfId="0" applyFont="1" applyFill="1" applyAlignment="1">
      <alignment horizontal="center" vertical="center" wrapText="1"/>
    </xf>
    <xf numFmtId="164" fontId="1" fillId="2" borderId="1" xfId="0" applyNumberFormat="1" applyFont="1" applyFill="1" applyBorder="1" applyAlignment="1">
      <alignment horizontal="center" vertical="center" wrapText="1"/>
    </xf>
    <xf numFmtId="164" fontId="1" fillId="2" borderId="0" xfId="0" applyNumberFormat="1" applyFont="1" applyFill="1" applyAlignment="1">
      <alignment horizontal="center" vertical="center" wrapText="1"/>
    </xf>
    <xf numFmtId="164" fontId="0" fillId="0" borderId="0" xfId="0" applyNumberFormat="1" applyAlignment="1">
      <alignment horizontal="center"/>
    </xf>
  </cellXfs>
  <cellStyles count="2">
    <cellStyle name="Hyperlink" xfId="1" builtinId="8"/>
    <cellStyle name="Normal" xfId="0" builtinId="0"/>
  </cellStyles>
  <dxfs count="110">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color rgb="FF77658D"/>
      </font>
      <fill>
        <patternFill patternType="solid">
          <bgColor rgb="FFF0EDF5"/>
        </patternFill>
      </fill>
    </dxf>
    <dxf>
      <font>
        <color rgb="FF77658D"/>
      </font>
      <fill>
        <patternFill patternType="solid">
          <bgColor rgb="FFF0EDF5"/>
        </patternFill>
      </fill>
    </dxf>
    <dxf>
      <font>
        <color rgb="FF777C78"/>
      </font>
      <fill>
        <patternFill patternType="solid">
          <bgColor rgb="FFF0F1F0"/>
        </patternFill>
      </fill>
    </dxf>
    <dxf>
      <font>
        <color rgb="FF777C78"/>
      </font>
      <fill>
        <patternFill patternType="solid">
          <bgColor rgb="FFF0F1F0"/>
        </patternFill>
      </fill>
    </dxf>
    <dxf>
      <font>
        <color rgb="FF867039"/>
      </font>
      <fill>
        <patternFill patternType="solid">
          <bgColor rgb="FFF6F2E5"/>
        </patternFill>
      </fill>
    </dxf>
    <dxf>
      <font>
        <color rgb="FF867039"/>
      </font>
      <fill>
        <patternFill patternType="solid">
          <bgColor rgb="FFF6F2E5"/>
        </patternFill>
      </fill>
    </dxf>
    <dxf>
      <font>
        <color rgb="FF867039"/>
      </font>
      <fill>
        <patternFill patternType="solid">
          <bgColor rgb="FFF6F2E5"/>
        </patternFill>
      </fill>
    </dxf>
    <dxf>
      <font>
        <color rgb="FFA64B3C"/>
      </font>
      <fill>
        <patternFill patternType="solid">
          <bgColor rgb="FFF8ECE9"/>
        </patternFill>
      </fill>
    </dxf>
    <dxf>
      <font>
        <color rgb="FFA64B3C"/>
      </font>
      <fill>
        <patternFill patternType="solid">
          <bgColor rgb="FFF8ECE9"/>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77658D"/>
      </font>
      <fill>
        <patternFill patternType="solid">
          <bgColor rgb="FFF0EDF5"/>
        </patternFill>
      </fill>
    </dxf>
    <dxf>
      <font>
        <color rgb="FF77658D"/>
      </font>
      <fill>
        <patternFill patternType="solid">
          <bgColor rgb="FFF0EDF5"/>
        </patternFill>
      </fill>
    </dxf>
    <dxf>
      <font>
        <color rgb="FF777C78"/>
      </font>
      <fill>
        <patternFill patternType="solid">
          <bgColor rgb="FFF0F1F0"/>
        </patternFill>
      </fill>
    </dxf>
    <dxf>
      <font>
        <color rgb="FF777C78"/>
      </font>
      <fill>
        <patternFill patternType="solid">
          <bgColor rgb="FFF0F1F0"/>
        </patternFill>
      </fill>
    </dxf>
    <dxf>
      <font>
        <color rgb="FF867039"/>
      </font>
      <fill>
        <patternFill patternType="solid">
          <bgColor rgb="FFF6F2E5"/>
        </patternFill>
      </fill>
    </dxf>
    <dxf>
      <font>
        <color rgb="FF867039"/>
      </font>
      <fill>
        <patternFill patternType="solid">
          <bgColor rgb="FFF6F2E5"/>
        </patternFill>
      </fill>
    </dxf>
    <dxf>
      <font>
        <color rgb="FF867039"/>
      </font>
      <fill>
        <patternFill patternType="solid">
          <bgColor rgb="FFF6F2E5"/>
        </patternFill>
      </fill>
    </dxf>
    <dxf>
      <font>
        <color rgb="FFA64B3C"/>
      </font>
      <fill>
        <patternFill patternType="solid">
          <bgColor rgb="FFF8ECE9"/>
        </patternFill>
      </fill>
    </dxf>
    <dxf>
      <font>
        <color rgb="FFA64B3C"/>
      </font>
      <fill>
        <patternFill patternType="solid">
          <bgColor rgb="FFF8ECE9"/>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77658D"/>
      </font>
      <fill>
        <patternFill patternType="solid">
          <bgColor rgb="FFF0EDF5"/>
        </patternFill>
      </fill>
    </dxf>
    <dxf>
      <font>
        <color rgb="FF77658D"/>
      </font>
      <fill>
        <patternFill patternType="solid">
          <bgColor rgb="FFF0EDF5"/>
        </patternFill>
      </fill>
    </dxf>
    <dxf>
      <font>
        <color rgb="FF777C78"/>
      </font>
      <fill>
        <patternFill patternType="solid">
          <bgColor rgb="FFF0F1F0"/>
        </patternFill>
      </fill>
    </dxf>
    <dxf>
      <font>
        <color rgb="FF777C78"/>
      </font>
      <fill>
        <patternFill patternType="solid">
          <bgColor rgb="FFF0F1F0"/>
        </patternFill>
      </fill>
    </dxf>
    <dxf>
      <font>
        <color rgb="FF867039"/>
      </font>
      <fill>
        <patternFill patternType="solid">
          <bgColor rgb="FFF6F2E5"/>
        </patternFill>
      </fill>
    </dxf>
    <dxf>
      <font>
        <color rgb="FF867039"/>
      </font>
      <fill>
        <patternFill patternType="solid">
          <bgColor rgb="FFF6F2E5"/>
        </patternFill>
      </fill>
    </dxf>
    <dxf>
      <font>
        <color rgb="FF867039"/>
      </font>
      <fill>
        <patternFill patternType="solid">
          <bgColor rgb="FFF6F2E5"/>
        </patternFill>
      </fill>
    </dxf>
    <dxf>
      <font>
        <color rgb="FFA64B3C"/>
      </font>
      <fill>
        <patternFill patternType="solid">
          <bgColor rgb="FFF8ECE9"/>
        </patternFill>
      </fill>
    </dxf>
    <dxf>
      <font>
        <color rgb="FFA64B3C"/>
      </font>
      <fill>
        <patternFill patternType="solid">
          <bgColor rgb="FFF8ECE9"/>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77658D"/>
      </font>
      <fill>
        <patternFill patternType="solid">
          <bgColor rgb="FFF0EDF5"/>
        </patternFill>
      </fill>
    </dxf>
    <dxf>
      <font>
        <color rgb="FF77658D"/>
      </font>
      <fill>
        <patternFill patternType="solid">
          <bgColor rgb="FFF0EDF5"/>
        </patternFill>
      </fill>
    </dxf>
    <dxf>
      <font>
        <color rgb="FF777C78"/>
      </font>
      <fill>
        <patternFill patternType="solid">
          <bgColor rgb="FFF0F1F0"/>
        </patternFill>
      </fill>
    </dxf>
    <dxf>
      <font>
        <color rgb="FF777C78"/>
      </font>
      <fill>
        <patternFill patternType="solid">
          <bgColor rgb="FFF0F1F0"/>
        </patternFill>
      </fill>
    </dxf>
    <dxf>
      <font>
        <color rgb="FF867039"/>
      </font>
      <fill>
        <patternFill patternType="solid">
          <bgColor rgb="FFF6F2E5"/>
        </patternFill>
      </fill>
    </dxf>
    <dxf>
      <font>
        <color rgb="FF867039"/>
      </font>
      <fill>
        <patternFill patternType="solid">
          <bgColor rgb="FFF6F2E5"/>
        </patternFill>
      </fill>
    </dxf>
    <dxf>
      <font>
        <color rgb="FF867039"/>
      </font>
      <fill>
        <patternFill patternType="solid">
          <bgColor rgb="FFF6F2E5"/>
        </patternFill>
      </fill>
    </dxf>
    <dxf>
      <font>
        <color rgb="FFA64B3C"/>
      </font>
      <fill>
        <patternFill patternType="solid">
          <bgColor rgb="FFF8ECE9"/>
        </patternFill>
      </fill>
    </dxf>
    <dxf>
      <font>
        <color rgb="FFA64B3C"/>
      </font>
      <fill>
        <patternFill patternType="solid">
          <bgColor rgb="FFF8ECE9"/>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77658D"/>
      </font>
      <fill>
        <patternFill patternType="solid">
          <bgColor rgb="FFF0EDF5"/>
        </patternFill>
      </fill>
    </dxf>
    <dxf>
      <font>
        <color rgb="FF77658D"/>
      </font>
      <fill>
        <patternFill patternType="solid">
          <bgColor rgb="FFF0EDF5"/>
        </patternFill>
      </fill>
    </dxf>
    <dxf>
      <font>
        <color rgb="FF777C78"/>
      </font>
      <fill>
        <patternFill patternType="solid">
          <bgColor rgb="FFF0F1F0"/>
        </patternFill>
      </fill>
    </dxf>
    <dxf>
      <font>
        <color rgb="FF777C78"/>
      </font>
      <fill>
        <patternFill patternType="solid">
          <bgColor rgb="FFF0F1F0"/>
        </patternFill>
      </fill>
    </dxf>
    <dxf>
      <font>
        <color rgb="FF867039"/>
      </font>
      <fill>
        <patternFill patternType="solid">
          <bgColor rgb="FFF6F2E5"/>
        </patternFill>
      </fill>
    </dxf>
    <dxf>
      <font>
        <color rgb="FF867039"/>
      </font>
      <fill>
        <patternFill patternType="solid">
          <bgColor rgb="FFF6F2E5"/>
        </patternFill>
      </fill>
    </dxf>
    <dxf>
      <font>
        <color rgb="FF867039"/>
      </font>
      <fill>
        <patternFill patternType="solid">
          <bgColor rgb="FFF6F2E5"/>
        </patternFill>
      </fill>
    </dxf>
    <dxf>
      <font>
        <color rgb="FFA64B3C"/>
      </font>
      <fill>
        <patternFill patternType="solid">
          <bgColor rgb="FFF8ECE9"/>
        </patternFill>
      </fill>
    </dxf>
    <dxf>
      <font>
        <color rgb="FFA64B3C"/>
      </font>
      <fill>
        <patternFill patternType="solid">
          <bgColor rgb="FFF8ECE9"/>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77658D"/>
      </font>
      <fill>
        <patternFill patternType="solid">
          <bgColor rgb="FFF0EDF5"/>
        </patternFill>
      </fill>
    </dxf>
    <dxf>
      <font>
        <color rgb="FF77658D"/>
      </font>
      <fill>
        <patternFill patternType="solid">
          <bgColor rgb="FFF0EDF5"/>
        </patternFill>
      </fill>
    </dxf>
    <dxf>
      <font>
        <color rgb="FF777C78"/>
      </font>
      <fill>
        <patternFill patternType="solid">
          <bgColor rgb="FFF0F1F0"/>
        </patternFill>
      </fill>
    </dxf>
    <dxf>
      <font>
        <color rgb="FF777C78"/>
      </font>
      <fill>
        <patternFill patternType="solid">
          <bgColor rgb="FFF0F1F0"/>
        </patternFill>
      </fill>
    </dxf>
    <dxf>
      <font>
        <color rgb="FF867039"/>
      </font>
      <fill>
        <patternFill patternType="solid">
          <bgColor rgb="FFF6F2E5"/>
        </patternFill>
      </fill>
    </dxf>
    <dxf>
      <font>
        <color rgb="FF867039"/>
      </font>
      <fill>
        <patternFill patternType="solid">
          <bgColor rgb="FFF6F2E5"/>
        </patternFill>
      </fill>
    </dxf>
    <dxf>
      <font>
        <color rgb="FF867039"/>
      </font>
      <fill>
        <patternFill patternType="solid">
          <bgColor rgb="FFF6F2E5"/>
        </patternFill>
      </fill>
    </dxf>
    <dxf>
      <font>
        <color rgb="FFA64B3C"/>
      </font>
      <fill>
        <patternFill patternType="solid">
          <bgColor rgb="FFF8ECE9"/>
        </patternFill>
      </fill>
    </dxf>
    <dxf>
      <font>
        <color rgb="FFA64B3C"/>
      </font>
      <fill>
        <patternFill patternType="solid">
          <bgColor rgb="FFF8ECE9"/>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77658D"/>
      </font>
      <fill>
        <patternFill patternType="solid">
          <bgColor rgb="FFF0EDF5"/>
        </patternFill>
      </fill>
    </dxf>
    <dxf>
      <font>
        <color rgb="FF77658D"/>
      </font>
      <fill>
        <patternFill patternType="solid">
          <bgColor rgb="FFF0EDF5"/>
        </patternFill>
      </fill>
    </dxf>
    <dxf>
      <font>
        <color rgb="FF777C78"/>
      </font>
      <fill>
        <patternFill patternType="solid">
          <bgColor rgb="FFF0F1F0"/>
        </patternFill>
      </fill>
    </dxf>
    <dxf>
      <font>
        <color rgb="FF777C78"/>
      </font>
      <fill>
        <patternFill patternType="solid">
          <bgColor rgb="FFF0F1F0"/>
        </patternFill>
      </fill>
    </dxf>
    <dxf>
      <font>
        <color rgb="FF867039"/>
      </font>
      <fill>
        <patternFill patternType="solid">
          <bgColor rgb="FFF6F2E5"/>
        </patternFill>
      </fill>
    </dxf>
    <dxf>
      <font>
        <color rgb="FF867039"/>
      </font>
      <fill>
        <patternFill patternType="solid">
          <bgColor rgb="FFF6F2E5"/>
        </patternFill>
      </fill>
    </dxf>
    <dxf>
      <font>
        <color rgb="FF867039"/>
      </font>
      <fill>
        <patternFill patternType="solid">
          <bgColor rgb="FFF6F2E5"/>
        </patternFill>
      </fill>
    </dxf>
    <dxf>
      <font>
        <color rgb="FFA64B3C"/>
      </font>
      <fill>
        <patternFill patternType="solid">
          <bgColor rgb="FFF8ECE9"/>
        </patternFill>
      </fill>
    </dxf>
    <dxf>
      <font>
        <color rgb="FFA64B3C"/>
      </font>
      <fill>
        <patternFill patternType="solid">
          <bgColor rgb="FFF8ECE9"/>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77658D"/>
      </font>
      <fill>
        <patternFill patternType="solid">
          <bgColor rgb="FFF0EDF5"/>
        </patternFill>
      </fill>
    </dxf>
    <dxf>
      <font>
        <color rgb="FF77658D"/>
      </font>
      <fill>
        <patternFill patternType="solid">
          <bgColor rgb="FFF0EDF5"/>
        </patternFill>
      </fill>
    </dxf>
    <dxf>
      <font>
        <color rgb="FF777C78"/>
      </font>
      <fill>
        <patternFill patternType="solid">
          <bgColor rgb="FFF0F1F0"/>
        </patternFill>
      </fill>
    </dxf>
    <dxf>
      <font>
        <color rgb="FF777C78"/>
      </font>
      <fill>
        <patternFill patternType="solid">
          <bgColor rgb="FFF0F1F0"/>
        </patternFill>
      </fill>
    </dxf>
    <dxf>
      <font>
        <color rgb="FF867039"/>
      </font>
      <fill>
        <patternFill patternType="solid">
          <bgColor rgb="FFF6F2E5"/>
        </patternFill>
      </fill>
    </dxf>
    <dxf>
      <font>
        <color rgb="FF867039"/>
      </font>
      <fill>
        <patternFill patternType="solid">
          <bgColor rgb="FFF6F2E5"/>
        </patternFill>
      </fill>
    </dxf>
    <dxf>
      <font>
        <color rgb="FF867039"/>
      </font>
      <fill>
        <patternFill patternType="solid">
          <bgColor rgb="FFF6F2E5"/>
        </patternFill>
      </fill>
    </dxf>
    <dxf>
      <font>
        <color rgb="FFA64B3C"/>
      </font>
      <fill>
        <patternFill patternType="solid">
          <bgColor rgb="FFF8ECE9"/>
        </patternFill>
      </fill>
    </dxf>
    <dxf>
      <font>
        <color rgb="FFA64B3C"/>
      </font>
      <fill>
        <patternFill patternType="solid">
          <bgColor rgb="FFF8ECE9"/>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
      <font>
        <color rgb="FF285B47"/>
      </font>
      <fill>
        <patternFill patternType="solid">
          <bgColor rgb="FFEAF1E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ilyTasksTable" displayName="DailyTasksTable" ref="B8:I21" totalsRowShown="0">
  <autoFilter ref="B8:I21" xr:uid="{00000000-0009-0000-0100-000001000000}"/>
  <tableColumns count="8">
    <tableColumn id="1" xr3:uid="{00000000-0010-0000-0000-000001000000}" name="Task ID"/>
    <tableColumn id="2" xr3:uid="{00000000-0010-0000-0000-000002000000}" name="Phase"/>
    <tableColumn id="3" xr3:uid="{00000000-0010-0000-0000-000003000000}" name="Công việc"/>
    <tableColumn id="4" xr3:uid="{00000000-0010-0000-0000-000004000000}" name="Ưu tiên"/>
    <tableColumn id="5" xr3:uid="{00000000-0010-0000-0000-000005000000}" name="Trạng thái"/>
    <tableColumn id="6" xr3:uid="{00000000-0010-0000-0000-000006000000}" name="Phụ trách"/>
    <tableColumn id="7" xr3:uid="{00000000-0010-0000-0000-000007000000}" name="Hạn" dataDxfId="2"/>
    <tableColumn id="8" xr3:uid="{00000000-0010-0000-0000-000008000000}" name="Cập nhật" dataDxfId="1"/>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skActions" displayName="TaskActions" ref="B8:F21" totalsRowShown="0">
  <autoFilter ref="B8:F21" xr:uid="{00000000-0009-0000-0100-000002000000}"/>
  <tableColumns count="5">
    <tableColumn id="1" xr3:uid="{00000000-0010-0000-0100-000001000000}" name="Task ID"/>
    <tableColumn id="2" xr3:uid="{00000000-0010-0000-0100-000002000000}" name="Nhóm"/>
    <tableColumn id="3" xr3:uid="{00000000-0010-0000-0100-000003000000}" name="Phụ thuộc"/>
    <tableColumn id="4" xr3:uid="{00000000-0010-0000-0100-000004000000}" name="Việc tiếp theo"/>
    <tableColumn id="5" xr3:uid="{00000000-0010-0000-0100-000005000000}" name="Ghi chú"/>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skAcceptance" displayName="TaskAcceptance" ref="B8:E21" totalsRowShown="0">
  <autoFilter ref="B8:E21" xr:uid="{00000000-0009-0000-0100-000003000000}"/>
  <tableColumns count="4">
    <tableColumn id="1" xr3:uid="{00000000-0010-0000-0200-000001000000}" name="Task ID"/>
    <tableColumn id="2" xr3:uid="{00000000-0010-0000-0200-000002000000}" name="Công việc"/>
    <tableColumn id="3" xr3:uid="{00000000-0010-0000-0200-000003000000}" name="Người kiểm tra"/>
    <tableColumn id="4" xr3:uid="{00000000-0010-0000-0200-000004000000}" name="Bằng chứng"/>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lockerGroups" displayName="BlockerGroups" ref="B8:E14" totalsRowShown="0">
  <autoFilter ref="B8:E14" xr:uid="{00000000-0009-0000-0100-000004000000}"/>
  <tableColumns count="4">
    <tableColumn id="1" xr3:uid="{00000000-0010-0000-0300-000001000000}" name="Nhóm"/>
    <tableColumn id="2" xr3:uid="{00000000-0010-0000-0300-000002000000}" name="Trạng thái"/>
    <tableColumn id="3" xr3:uid="{00000000-0010-0000-0300-000003000000}" name="Việc tiếp theo"/>
    <tableColumn id="4" xr3:uid="{00000000-0010-0000-0300-000004000000}" name="Task nguồn"/>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oadmapFixedTable" displayName="RoadmapFixedTable" ref="B8:G26" totalsRowShown="0">
  <autoFilter ref="B8:G26" xr:uid="{00000000-0009-0000-0100-000005000000}"/>
  <tableColumns count="6">
    <tableColumn id="1" xr3:uid="{00000000-0010-0000-0400-000001000000}" name="Phase" dataDxfId="5"/>
    <tableColumn id="2" xr3:uid="{00000000-0010-0000-0400-000002000000}" name="Giai đoạn"/>
    <tableColumn id="3" xr3:uid="{00000000-0010-0000-0400-000003000000}" name="Mục tiêu"/>
    <tableColumn id="4" xr3:uid="{00000000-0010-0000-0400-000004000000}" name="Điều kiện hoàn thành"/>
    <tableColumn id="5" xr3:uid="{00000000-0010-0000-0400-000005000000}" name="Trạng thái"/>
    <tableColumn id="6" xr3:uid="{00000000-0010-0000-0400-000006000000}" name="Ghi chú"/>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hase1Checklist" displayName="Phase1Checklist" ref="B8:H20" totalsRowShown="0">
  <autoFilter ref="B8:H20" xr:uid="{00000000-0009-0000-0100-000006000000}"/>
  <tableColumns count="7">
    <tableColumn id="1" xr3:uid="{00000000-0010-0000-0500-000001000000}" name="#" dataDxfId="4"/>
    <tableColumn id="2" xr3:uid="{00000000-0010-0000-0500-000002000000}" name="Nhóm"/>
    <tableColumn id="3" xr3:uid="{00000000-0010-0000-0500-000003000000}" name="Việc cần làm"/>
    <tableColumn id="4" xr3:uid="{00000000-0010-0000-0500-000004000000}" name="PASS khi"/>
    <tableColumn id="5" xr3:uid="{00000000-0010-0000-0500-000005000000}" name="Task ID"/>
    <tableColumn id="6" xr3:uid="{00000000-0010-0000-0500-000006000000}" name="Trạng thái"/>
    <tableColumn id="7" xr3:uid="{00000000-0010-0000-0500-000007000000}" name="Phụ thuộc"/>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earnerFlowFixed" displayName="LearnerFlowFixed" ref="B8:D19" totalsRowShown="0">
  <autoFilter ref="B8:D19" xr:uid="{00000000-0009-0000-0100-000007000000}"/>
  <tableColumns count="3">
    <tableColumn id="1" xr3:uid="{00000000-0010-0000-0600-000001000000}" name="Bước" dataDxfId="3"/>
    <tableColumn id="2" xr3:uid="{00000000-0010-0000-0600-000002000000}" name="Nghiệp vụ"/>
    <tableColumn id="3" xr3:uid="{00000000-0010-0000-0600-000003000000}" name="Hệ thống làm gì"/>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ssuesFixedTable" displayName="IssuesFixedTable" ref="B8:G17" totalsRowShown="0">
  <autoFilter ref="B8:G17" xr:uid="{00000000-0009-0000-0100-000008000000}"/>
  <tableColumns count="6">
    <tableColumn id="1" xr3:uid="{00000000-0010-0000-0700-000001000000}" name="Issue ID"/>
    <tableColumn id="2" xr3:uid="{00000000-0010-0000-0700-000002000000}" name="Vấn đề"/>
    <tableColumn id="3" xr3:uid="{00000000-0010-0000-0700-000003000000}" name="Trạng thái"/>
    <tableColumn id="4" xr3:uid="{00000000-0010-0000-0700-000004000000}" name="Ưu tiên"/>
    <tableColumn id="5" xr3:uid="{00000000-0010-0000-0700-000005000000}" name="Phụ trách"/>
    <tableColumn id="6" xr3:uid="{00000000-0010-0000-0700-000006000000}" name="Task liên quan"/>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IssueDetails" displayName="IssueDetails" ref="B8:F17" totalsRowShown="0">
  <autoFilter ref="B8:F17" xr:uid="{00000000-0009-0000-0100-000009000000}"/>
  <tableColumns count="5">
    <tableColumn id="1" xr3:uid="{00000000-0010-0000-0800-000001000000}" name="Issue ID"/>
    <tableColumn id="2" xr3:uid="{00000000-0010-0000-0800-000002000000}" name="Mô tả"/>
    <tableColumn id="3" xr3:uid="{00000000-0010-0000-0800-000003000000}" name="Cách xử lý"/>
    <tableColumn id="4" xr3:uid="{00000000-0010-0000-0800-000004000000}" name="Bằng chứng / commit"/>
    <tableColumn id="5" xr3:uid="{00000000-0010-0000-0800-000005000000}" name="Cập nhật"/>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hangeRequests" displayName="ChangeRequests" ref="B8:J13" totalsRowShown="0">
  <autoFilter ref="B8:J13" xr:uid="{00000000-0009-0000-0100-00000A000000}"/>
  <tableColumns count="9">
    <tableColumn id="1" xr3:uid="{00000000-0010-0000-0900-000001000000}" name="CR ID"/>
    <tableColumn id="2" xr3:uid="{00000000-0010-0000-0900-000002000000}" name="Ngày"/>
    <tableColumn id="3" xr3:uid="{00000000-0010-0000-0900-000003000000}" name="Người đề nghị"/>
    <tableColumn id="4" xr3:uid="{00000000-0010-0000-0900-000004000000}" name="Nội dung muốn đổi"/>
    <tableColumn id="5" xr3:uid="{00000000-0010-0000-0900-000005000000}" name="Lý do"/>
    <tableColumn id="6" xr3:uid="{00000000-0010-0000-0900-000006000000}" name="Ảnh hưởng"/>
    <tableColumn id="7" xr3:uid="{00000000-0010-0000-0900-000007000000}" name="Test / migration"/>
    <tableColumn id="8" xr3:uid="{00000000-0010-0000-0900-000008000000}" name="Trạng thái"/>
    <tableColumn id="9" xr3:uid="{00000000-0010-0000-0900-000009000000}" name="Người duyệt"/>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videnceFixedTable" displayName="EvidenceFixedTable" ref="B8:G23" totalsRowShown="0">
  <autoFilter ref="B8:G23" xr:uid="{00000000-0009-0000-0100-00000B000000}"/>
  <tableColumns count="6">
    <tableColumn id="1" xr3:uid="{00000000-0010-0000-0A00-000001000000}" name="ID"/>
    <tableColumn id="2" xr3:uid="{00000000-0010-0000-0A00-000002000000}" name="Khu vực"/>
    <tableColumn id="3" xr3:uid="{00000000-0010-0000-0A00-000003000000}" name="Kiểm tra"/>
    <tableColumn id="4" xr3:uid="{00000000-0010-0000-0A00-000004000000}" name="Trạng thái"/>
    <tableColumn id="5" xr3:uid="{00000000-0010-0000-0A00-000005000000}" name="Ngày" dataDxfId="0"/>
    <tableColumn id="6" xr3:uid="{00000000-0010-0000-0A00-000006000000}" name="Nguồn"/>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videnceScope" displayName="EvidenceScope" ref="B8:D23" totalsRowShown="0">
  <autoFilter ref="B8:D23" xr:uid="{00000000-0009-0000-0100-00000C000000}"/>
  <tableColumns count="3">
    <tableColumn id="1" xr3:uid="{00000000-0010-0000-0B00-000001000000}" name="ID"/>
    <tableColumn id="2" xr3:uid="{00000000-0010-0000-0B00-000002000000}" name="Kết quả quan sát"/>
    <tableColumn id="3" xr3:uid="{00000000-0010-0000-0B00-000003000000}" name="Phạm vi / giới hạn"/>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85B47"/>
    <pageSetUpPr fitToPage="1"/>
  </sheetPr>
  <dimension ref="A1:I55"/>
  <sheetViews>
    <sheetView showGridLines="0" showRowColHeaders="0" tabSelected="1" zoomScaleNormal="100" workbookViewId="0"/>
  </sheetViews>
  <sheetFormatPr defaultRowHeight="13.8"/>
  <cols>
    <col min="1" max="1" width="3.5" customWidth="1"/>
    <col min="2" max="3" width="22.5" customWidth="1"/>
    <col min="4" max="4" width="3.69921875" customWidth="1"/>
    <col min="5" max="6" width="22.5" customWidth="1"/>
    <col min="7" max="7" width="3.69921875" customWidth="1"/>
    <col min="8" max="9" width="22.5" customWidth="1"/>
  </cols>
  <sheetData>
    <row r="1" spans="1:9" ht="19.95" customHeight="1">
      <c r="A1" s="1"/>
      <c r="B1" s="1"/>
      <c r="C1" s="1"/>
      <c r="D1" s="1"/>
      <c r="E1" s="1"/>
      <c r="F1" s="1"/>
      <c r="G1" s="1"/>
      <c r="H1" s="1"/>
      <c r="I1" s="10" t="s">
        <v>572</v>
      </c>
    </row>
    <row r="2" spans="1:9" ht="19.95" customHeight="1">
      <c r="A2" s="1"/>
      <c r="B2" s="16" t="s">
        <v>0</v>
      </c>
      <c r="C2" s="16"/>
      <c r="D2" s="16"/>
      <c r="E2" s="16"/>
      <c r="F2" s="16"/>
      <c r="G2" s="16"/>
      <c r="H2" s="16"/>
      <c r="I2" s="16"/>
    </row>
    <row r="3" spans="1:9" ht="10.050000000000001" customHeight="1">
      <c r="A3" s="1"/>
      <c r="B3" s="1"/>
      <c r="C3" s="1"/>
      <c r="D3" s="1"/>
      <c r="E3" s="1"/>
      <c r="F3" s="1"/>
      <c r="G3" s="1"/>
      <c r="H3" s="1"/>
      <c r="I3" s="1"/>
    </row>
    <row r="4" spans="1:9" ht="39" customHeight="1">
      <c r="A4" s="1"/>
      <c r="B4" s="17" t="s">
        <v>1</v>
      </c>
      <c r="C4" s="17"/>
      <c r="D4" s="17"/>
      <c r="E4" s="17"/>
      <c r="F4" s="17"/>
      <c r="G4" s="17"/>
      <c r="H4" s="17"/>
      <c r="I4" s="17"/>
    </row>
    <row r="5" spans="1:9" ht="28.05" customHeight="1">
      <c r="A5" s="1"/>
      <c r="B5" s="11" t="s">
        <v>2</v>
      </c>
      <c r="C5" s="11"/>
      <c r="D5" s="11"/>
      <c r="E5" s="11"/>
      <c r="F5" s="11"/>
      <c r="G5" s="11"/>
      <c r="H5" s="11"/>
      <c r="I5" s="11"/>
    </row>
    <row r="6" spans="1:9" ht="19.95" customHeight="1">
      <c r="A6" s="1"/>
      <c r="B6" s="2"/>
      <c r="C6" s="2"/>
      <c r="D6" s="2"/>
      <c r="E6" s="2"/>
      <c r="F6" s="2"/>
      <c r="G6" s="2"/>
      <c r="H6" s="2"/>
      <c r="I6" s="2"/>
    </row>
    <row r="7" spans="1:9" ht="10.050000000000001" customHeight="1">
      <c r="A7" s="1"/>
      <c r="B7" s="1"/>
      <c r="C7" s="1"/>
      <c r="D7" s="1"/>
      <c r="E7" s="1"/>
      <c r="F7" s="1"/>
      <c r="G7" s="1"/>
      <c r="H7" s="1"/>
      <c r="I7" s="1"/>
    </row>
    <row r="8" spans="1:9" ht="30" customHeight="1">
      <c r="A8" s="1"/>
      <c r="B8" s="18" t="s">
        <v>3</v>
      </c>
      <c r="C8" s="18"/>
      <c r="D8" s="1"/>
      <c r="E8" s="30">
        <f>COUNTIFS('02_Cong_viec'!$C$9:$C$204,"P1",'02_Cong_viec'!$F$9:$F$204,"XONG")/COUNTIF('02_Cong_viec'!$C$9:$C$204,"P1")</f>
        <v>0</v>
      </c>
      <c r="F8" s="31"/>
      <c r="G8" s="1"/>
      <c r="H8" s="31">
        <f>COUNTIFS('02_Cong_viec'!$F$9:$F$204,"BỊ CHẶN")</f>
        <v>8</v>
      </c>
      <c r="I8" s="31"/>
    </row>
    <row r="9" spans="1:9" ht="19.95" customHeight="1">
      <c r="A9" s="1"/>
      <c r="B9" s="11" t="s">
        <v>4</v>
      </c>
      <c r="C9" s="11"/>
      <c r="D9" s="1"/>
      <c r="E9" s="11" t="s">
        <v>5</v>
      </c>
      <c r="F9" s="11"/>
      <c r="G9" s="1"/>
      <c r="H9" s="11" t="s">
        <v>6</v>
      </c>
      <c r="I9" s="11"/>
    </row>
    <row r="10" spans="1:9" ht="10.050000000000001" customHeight="1">
      <c r="A10" s="1"/>
      <c r="B10" s="1"/>
      <c r="C10" s="1"/>
      <c r="D10" s="1"/>
      <c r="E10" s="1"/>
      <c r="F10" s="1"/>
      <c r="G10" s="1"/>
      <c r="H10" s="1"/>
      <c r="I10" s="1"/>
    </row>
    <row r="11" spans="1:9" ht="10.050000000000001" customHeight="1">
      <c r="A11" s="1"/>
      <c r="B11" s="2"/>
      <c r="C11" s="2"/>
      <c r="D11" s="2"/>
      <c r="E11" s="2"/>
      <c r="F11" s="2"/>
      <c r="G11" s="2"/>
      <c r="H11" s="2"/>
      <c r="I11" s="2"/>
    </row>
    <row r="12" spans="1:9" ht="10.050000000000001" customHeight="1">
      <c r="A12" s="1"/>
      <c r="B12" s="1"/>
      <c r="C12" s="1"/>
      <c r="D12" s="1"/>
      <c r="E12" s="1"/>
      <c r="F12" s="1"/>
      <c r="G12" s="1"/>
      <c r="H12" s="1"/>
      <c r="I12" s="1"/>
    </row>
    <row r="13" spans="1:9" ht="19.95" customHeight="1">
      <c r="A13" s="1"/>
      <c r="B13" s="11" t="s">
        <v>7</v>
      </c>
      <c r="C13" s="11"/>
      <c r="D13" s="11"/>
      <c r="E13" s="11"/>
      <c r="F13" s="11"/>
      <c r="G13" s="11"/>
      <c r="H13" s="11"/>
      <c r="I13" s="11"/>
    </row>
    <row r="14" spans="1:9" ht="19.95" customHeight="1">
      <c r="A14" s="1"/>
      <c r="B14" s="15" t="s">
        <v>8</v>
      </c>
      <c r="C14" s="15"/>
      <c r="D14" s="15"/>
      <c r="E14" s="15"/>
      <c r="F14" s="15"/>
      <c r="G14" s="15"/>
      <c r="H14" s="15"/>
      <c r="I14" s="15"/>
    </row>
    <row r="15" spans="1:9" ht="19.95" customHeight="1">
      <c r="A15" s="1"/>
      <c r="B15" s="15"/>
      <c r="C15" s="15"/>
      <c r="D15" s="15"/>
      <c r="E15" s="15"/>
      <c r="F15" s="15"/>
      <c r="G15" s="15"/>
      <c r="H15" s="15"/>
      <c r="I15" s="15"/>
    </row>
    <row r="16" spans="1:9" ht="19.95" customHeight="1">
      <c r="A16" s="1"/>
      <c r="B16" s="15"/>
      <c r="C16" s="15"/>
      <c r="D16" s="15"/>
      <c r="E16" s="15"/>
      <c r="F16" s="15"/>
      <c r="G16" s="15"/>
      <c r="H16" s="15"/>
      <c r="I16" s="15"/>
    </row>
    <row r="17" spans="1:9" ht="10.050000000000001" customHeight="1">
      <c r="A17" s="1"/>
      <c r="B17" s="1"/>
      <c r="C17" s="1"/>
      <c r="D17" s="1"/>
      <c r="E17" s="1"/>
      <c r="F17" s="1"/>
      <c r="G17" s="1"/>
      <c r="H17" s="1"/>
      <c r="I17" s="1"/>
    </row>
    <row r="18" spans="1:9" ht="10.050000000000001" customHeight="1">
      <c r="A18" s="1"/>
      <c r="B18" s="1"/>
      <c r="C18" s="1"/>
      <c r="D18" s="1"/>
      <c r="E18" s="1"/>
      <c r="F18" s="1"/>
      <c r="G18" s="1"/>
      <c r="H18" s="1"/>
      <c r="I18" s="1"/>
    </row>
    <row r="19" spans="1:9" ht="19.95" customHeight="1">
      <c r="A19" s="1"/>
      <c r="B19" s="11" t="s">
        <v>9</v>
      </c>
      <c r="C19" s="11"/>
      <c r="D19" s="1"/>
      <c r="E19" s="13" t="str">
        <f>IF(COUNTIFS('02_Cong_viec'!$C$9:$C$204,"P1",'02_Cong_viec'!$F$9:$F$204,"&lt;&gt;XONG")=0,"XONG","ĐANG LÀM")</f>
        <v>ĐANG LÀM</v>
      </c>
      <c r="F19" s="13"/>
      <c r="G19" s="13"/>
      <c r="H19" s="13"/>
      <c r="I19" s="13"/>
    </row>
    <row r="20" spans="1:9" ht="19.95" customHeight="1">
      <c r="A20" s="1"/>
      <c r="B20" s="11" t="s">
        <v>10</v>
      </c>
      <c r="C20" s="11"/>
      <c r="D20" s="1"/>
      <c r="E20" s="14" t="str">
        <f>IF(COUNTIFS('02_Cong_viec'!$C$9:$C$204,"P1",'02_Cong_viec'!$F$9:$F$204,"&lt;&gt;XONG")=0,"ĐÃ PASS","CHƯA PASS")</f>
        <v>CHƯA PASS</v>
      </c>
      <c r="F20" s="14"/>
      <c r="G20" s="14"/>
      <c r="H20" s="14"/>
      <c r="I20" s="14"/>
    </row>
    <row r="21" spans="1:9" ht="19.95" customHeight="1">
      <c r="A21" s="1"/>
      <c r="B21" s="11" t="s">
        <v>11</v>
      </c>
      <c r="C21" s="11"/>
      <c r="D21" s="1"/>
      <c r="E21" s="11" t="str">
        <f>IF(E20="ĐÃ PASS","ĐỦ ĐIỀU KIỆN LẬP PHASE 2","CHƯA ĐƯỢC BẮT ĐẦU CHÍNH THỨC")</f>
        <v>CHƯA ĐƯỢC BẮT ĐẦU CHÍNH THỨC</v>
      </c>
      <c r="F21" s="11"/>
      <c r="G21" s="11"/>
      <c r="H21" s="11"/>
      <c r="I21" s="11"/>
    </row>
    <row r="22" spans="1:9" ht="19.95" customHeight="1">
      <c r="A22" s="1"/>
      <c r="B22" s="11" t="s">
        <v>12</v>
      </c>
      <c r="C22" s="11"/>
      <c r="D22" s="1"/>
      <c r="E22" s="11" t="s">
        <v>13</v>
      </c>
      <c r="F22" s="11"/>
      <c r="G22" s="11"/>
      <c r="H22" s="11"/>
      <c r="I22" s="11"/>
    </row>
    <row r="23" spans="1:9" ht="10.050000000000001" customHeight="1">
      <c r="A23" s="1"/>
      <c r="B23" s="1"/>
      <c r="C23" s="1"/>
      <c r="D23" s="1"/>
      <c r="E23" s="1"/>
      <c r="F23" s="1"/>
      <c r="G23" s="1"/>
      <c r="H23" s="1"/>
      <c r="I23" s="1"/>
    </row>
    <row r="24" spans="1:9" ht="10.050000000000001" customHeight="1">
      <c r="A24" s="1"/>
      <c r="B24" s="2"/>
      <c r="C24" s="2"/>
      <c r="D24" s="2"/>
      <c r="E24" s="2"/>
      <c r="F24" s="2"/>
      <c r="G24" s="2"/>
      <c r="H24" s="2"/>
      <c r="I24" s="2"/>
    </row>
    <row r="25" spans="1:9" ht="10.050000000000001" customHeight="1">
      <c r="A25" s="1"/>
      <c r="B25" s="1"/>
      <c r="C25" s="1"/>
      <c r="D25" s="1"/>
      <c r="E25" s="1"/>
      <c r="F25" s="1"/>
      <c r="G25" s="1"/>
      <c r="H25" s="1"/>
      <c r="I25" s="1"/>
    </row>
    <row r="26" spans="1:9" ht="19.95" customHeight="1">
      <c r="A26" s="1"/>
      <c r="B26" s="11" t="s">
        <v>14</v>
      </c>
      <c r="C26" s="11"/>
      <c r="D26" s="11"/>
      <c r="E26" s="11"/>
      <c r="F26" s="11"/>
      <c r="G26" s="11"/>
      <c r="H26" s="11"/>
      <c r="I26" s="11"/>
    </row>
    <row r="27" spans="1:9" ht="10.050000000000001" customHeight="1">
      <c r="A27" s="1"/>
      <c r="B27" s="1"/>
      <c r="C27" s="1"/>
      <c r="D27" s="1"/>
      <c r="E27" s="1"/>
      <c r="F27" s="1"/>
      <c r="G27" s="1"/>
      <c r="H27" s="1"/>
      <c r="I27" s="1"/>
    </row>
    <row r="28" spans="1:9" ht="19.95" customHeight="1">
      <c r="A28" s="1"/>
      <c r="B28" s="12" t="s">
        <v>15</v>
      </c>
      <c r="C28" s="13"/>
      <c r="D28" s="1"/>
      <c r="E28" s="12" t="s">
        <v>16</v>
      </c>
      <c r="F28" s="13"/>
      <c r="G28" s="1"/>
      <c r="H28" s="12" t="s">
        <v>17</v>
      </c>
      <c r="I28" s="13"/>
    </row>
    <row r="29" spans="1:9" ht="10.050000000000001" customHeight="1">
      <c r="A29" s="1"/>
      <c r="B29" s="1"/>
      <c r="C29" s="1"/>
      <c r="D29" s="1"/>
      <c r="E29" s="1"/>
      <c r="F29" s="1"/>
      <c r="G29" s="1"/>
      <c r="H29" s="1"/>
      <c r="I29" s="1"/>
    </row>
    <row r="30" spans="1:9" ht="10.050000000000001" customHeight="1">
      <c r="A30" s="1"/>
      <c r="B30" s="1"/>
      <c r="C30" s="1"/>
      <c r="D30" s="1"/>
      <c r="E30" s="1"/>
      <c r="F30" s="1"/>
      <c r="G30" s="1"/>
      <c r="H30" s="1"/>
      <c r="I30" s="1"/>
    </row>
    <row r="31" spans="1:9" ht="24" customHeight="1">
      <c r="A31" s="1"/>
      <c r="B31" s="1"/>
      <c r="C31" s="1"/>
      <c r="D31" s="1"/>
      <c r="E31" s="1"/>
      <c r="F31" s="1"/>
      <c r="G31" s="1"/>
      <c r="H31" s="1"/>
      <c r="I31" s="1"/>
    </row>
    <row r="32" spans="1:9" ht="24" customHeight="1">
      <c r="A32" s="1"/>
      <c r="B32" s="1"/>
      <c r="C32" s="1"/>
      <c r="D32" s="1"/>
      <c r="E32" s="1"/>
      <c r="F32" s="1"/>
      <c r="G32" s="1"/>
      <c r="H32" s="1"/>
      <c r="I32" s="1"/>
    </row>
    <row r="33" spans="1:9" ht="24" customHeight="1">
      <c r="A33" s="1"/>
      <c r="B33" s="1"/>
      <c r="C33" s="1"/>
      <c r="D33" s="1"/>
      <c r="E33" s="1"/>
      <c r="F33" s="1"/>
      <c r="G33" s="1"/>
      <c r="H33" s="1"/>
      <c r="I33" s="1"/>
    </row>
    <row r="34" spans="1:9" ht="24" customHeight="1">
      <c r="A34" s="1"/>
      <c r="B34" s="1"/>
      <c r="C34" s="1"/>
      <c r="D34" s="1"/>
      <c r="E34" s="1"/>
      <c r="F34" s="1"/>
      <c r="G34" s="1"/>
      <c r="H34" s="1"/>
      <c r="I34" s="1"/>
    </row>
    <row r="35" spans="1:9" ht="24" customHeight="1">
      <c r="A35" s="1"/>
      <c r="B35" s="1"/>
      <c r="C35" s="1"/>
      <c r="D35" s="1"/>
      <c r="E35" s="1"/>
      <c r="F35" s="1"/>
      <c r="G35" s="1"/>
      <c r="H35" s="1"/>
      <c r="I35" s="1"/>
    </row>
    <row r="36" spans="1:9" ht="24" customHeight="1">
      <c r="A36" s="1"/>
      <c r="B36" s="1"/>
      <c r="C36" s="1"/>
      <c r="D36" s="1"/>
      <c r="E36" s="1"/>
      <c r="F36" s="1"/>
      <c r="G36" s="1"/>
      <c r="H36" s="1"/>
      <c r="I36" s="1"/>
    </row>
    <row r="37" spans="1:9" ht="24" customHeight="1">
      <c r="A37" s="1"/>
      <c r="B37" s="1"/>
      <c r="C37" s="1"/>
      <c r="D37" s="1"/>
      <c r="E37" s="1"/>
      <c r="F37" s="1"/>
      <c r="G37" s="1"/>
      <c r="H37" s="1"/>
      <c r="I37" s="1"/>
    </row>
    <row r="38" spans="1:9" ht="24" customHeight="1">
      <c r="A38" s="1"/>
      <c r="B38" s="1"/>
      <c r="C38" s="1"/>
      <c r="D38" s="1"/>
      <c r="E38" s="1"/>
      <c r="F38" s="1"/>
      <c r="G38" s="1"/>
      <c r="H38" s="1"/>
      <c r="I38" s="1"/>
    </row>
    <row r="39" spans="1:9" ht="24" customHeight="1">
      <c r="A39" s="1"/>
      <c r="B39" s="1"/>
      <c r="C39" s="1"/>
      <c r="D39" s="1"/>
      <c r="E39" s="1"/>
      <c r="F39" s="1"/>
      <c r="G39" s="1"/>
      <c r="H39" s="1"/>
      <c r="I39" s="1"/>
    </row>
    <row r="40" spans="1:9" ht="24" customHeight="1">
      <c r="A40" s="1"/>
      <c r="B40" s="1"/>
      <c r="C40" s="1"/>
      <c r="D40" s="1"/>
      <c r="E40" s="1"/>
      <c r="F40" s="1"/>
      <c r="G40" s="1"/>
      <c r="H40" s="1"/>
      <c r="I40" s="1"/>
    </row>
    <row r="41" spans="1:9" ht="24" customHeight="1">
      <c r="A41" s="1"/>
      <c r="B41" s="1"/>
      <c r="C41" s="1"/>
      <c r="D41" s="1"/>
      <c r="E41" s="1"/>
      <c r="F41" s="1"/>
      <c r="G41" s="1"/>
      <c r="H41" s="1"/>
      <c r="I41" s="1"/>
    </row>
    <row r="42" spans="1:9" ht="24" customHeight="1">
      <c r="A42" s="1"/>
      <c r="B42" s="1"/>
      <c r="C42" s="1"/>
      <c r="D42" s="1"/>
      <c r="E42" s="1"/>
      <c r="F42" s="1"/>
      <c r="G42" s="1"/>
      <c r="H42" s="1"/>
      <c r="I42" s="1"/>
    </row>
    <row r="43" spans="1:9" ht="24" customHeight="1">
      <c r="A43" s="1"/>
      <c r="B43" s="1"/>
      <c r="C43" s="1"/>
      <c r="D43" s="1"/>
      <c r="E43" s="1"/>
      <c r="F43" s="1"/>
      <c r="G43" s="1"/>
      <c r="H43" s="1"/>
      <c r="I43" s="1"/>
    </row>
    <row r="44" spans="1:9" ht="24" customHeight="1">
      <c r="A44" s="1"/>
      <c r="B44" s="1"/>
      <c r="C44" s="1"/>
      <c r="D44" s="1"/>
      <c r="E44" s="1"/>
      <c r="F44" s="1"/>
      <c r="G44" s="1"/>
      <c r="H44" s="1"/>
      <c r="I44" s="1"/>
    </row>
    <row r="45" spans="1:9" ht="24" customHeight="1">
      <c r="A45" s="1"/>
      <c r="B45" s="1"/>
      <c r="C45" s="1"/>
      <c r="D45" s="1"/>
      <c r="E45" s="1"/>
      <c r="F45" s="1"/>
      <c r="G45" s="1"/>
      <c r="H45" s="1"/>
      <c r="I45" s="1"/>
    </row>
    <row r="46" spans="1:9" ht="24" customHeight="1">
      <c r="A46" s="1"/>
      <c r="B46" s="1"/>
      <c r="C46" s="1"/>
      <c r="D46" s="1"/>
      <c r="E46" s="1"/>
      <c r="F46" s="1"/>
      <c r="G46" s="1"/>
      <c r="H46" s="1"/>
      <c r="I46" s="1"/>
    </row>
    <row r="47" spans="1:9" ht="24" customHeight="1">
      <c r="A47" s="1"/>
      <c r="B47" s="1"/>
      <c r="C47" s="1"/>
      <c r="D47" s="1"/>
      <c r="E47" s="1"/>
      <c r="F47" s="1"/>
      <c r="G47" s="1"/>
      <c r="H47" s="1"/>
      <c r="I47" s="1"/>
    </row>
    <row r="48" spans="1:9" ht="24" customHeight="1">
      <c r="A48" s="1"/>
      <c r="B48" s="1"/>
      <c r="C48" s="1"/>
      <c r="D48" s="1"/>
      <c r="E48" s="1"/>
      <c r="F48" s="1"/>
      <c r="G48" s="1"/>
      <c r="H48" s="1"/>
      <c r="I48" s="1"/>
    </row>
    <row r="49" spans="1:9" ht="24" customHeight="1">
      <c r="A49" s="1"/>
      <c r="B49" s="1"/>
      <c r="C49" s="1"/>
      <c r="D49" s="1"/>
      <c r="E49" s="1"/>
      <c r="F49" s="1"/>
      <c r="G49" s="1"/>
      <c r="H49" s="1"/>
      <c r="I49" s="1"/>
    </row>
    <row r="50" spans="1:9" ht="24" customHeight="1">
      <c r="A50" s="1"/>
      <c r="B50" s="1"/>
      <c r="C50" s="1"/>
      <c r="D50" s="1"/>
      <c r="E50" s="1"/>
      <c r="F50" s="1"/>
      <c r="G50" s="1"/>
      <c r="H50" s="1"/>
      <c r="I50" s="1"/>
    </row>
    <row r="51" spans="1:9" ht="24" customHeight="1">
      <c r="A51" s="1"/>
      <c r="B51" s="1"/>
      <c r="C51" s="1"/>
      <c r="D51" s="1"/>
      <c r="E51" s="1"/>
      <c r="F51" s="1"/>
      <c r="G51" s="1"/>
      <c r="H51" s="1"/>
      <c r="I51" s="1"/>
    </row>
    <row r="52" spans="1:9" ht="24" customHeight="1">
      <c r="A52" s="1"/>
      <c r="B52" s="1"/>
      <c r="C52" s="1"/>
      <c r="D52" s="1"/>
      <c r="E52" s="1"/>
      <c r="F52" s="1"/>
      <c r="G52" s="1"/>
      <c r="H52" s="1"/>
      <c r="I52" s="1"/>
    </row>
    <row r="53" spans="1:9" ht="24" customHeight="1">
      <c r="A53" s="1"/>
      <c r="B53" s="1"/>
      <c r="C53" s="1"/>
      <c r="D53" s="1"/>
      <c r="E53" s="1"/>
      <c r="F53" s="1"/>
      <c r="G53" s="1"/>
      <c r="H53" s="1"/>
      <c r="I53" s="1"/>
    </row>
    <row r="54" spans="1:9" ht="24" customHeight="1">
      <c r="A54" s="1"/>
      <c r="B54" s="1"/>
      <c r="C54" s="1"/>
      <c r="D54" s="1"/>
      <c r="E54" s="1"/>
      <c r="F54" s="1"/>
      <c r="G54" s="1"/>
      <c r="H54" s="1"/>
      <c r="I54" s="1"/>
    </row>
    <row r="55" spans="1:9" ht="24" customHeight="1">
      <c r="A55" s="1"/>
      <c r="B55" s="1"/>
      <c r="C55" s="1"/>
      <c r="D55" s="1"/>
      <c r="E55" s="1"/>
      <c r="F55" s="1"/>
      <c r="G55" s="1"/>
      <c r="H55" s="1"/>
      <c r="I55" s="1"/>
    </row>
  </sheetData>
  <mergeCells count="23">
    <mergeCell ref="B2:I2"/>
    <mergeCell ref="B4:I4"/>
    <mergeCell ref="B5:I5"/>
    <mergeCell ref="B8:C8"/>
    <mergeCell ref="E8:F8"/>
    <mergeCell ref="H8:I8"/>
    <mergeCell ref="B9:C9"/>
    <mergeCell ref="E9:F9"/>
    <mergeCell ref="H9:I9"/>
    <mergeCell ref="B13:I13"/>
    <mergeCell ref="B14:I16"/>
    <mergeCell ref="B19:C19"/>
    <mergeCell ref="E19:I19"/>
    <mergeCell ref="B20:C20"/>
    <mergeCell ref="E20:I20"/>
    <mergeCell ref="B21:C21"/>
    <mergeCell ref="E21:I21"/>
    <mergeCell ref="B22:C22"/>
    <mergeCell ref="E22:I22"/>
    <mergeCell ref="B26:I26"/>
    <mergeCell ref="B28:C28"/>
    <mergeCell ref="E28:F28"/>
    <mergeCell ref="H28:I28"/>
  </mergeCells>
  <hyperlinks>
    <hyperlink ref="I1" location="'01_Muc_luc'!A1" display="← Mục lục" xr:uid="{15C6350C-1F13-4D42-A958-E6167ED8675F}"/>
    <hyperlink ref="B28" location="'02_Cong_viec'!A1" display="Công việc →" xr:uid="{FB660090-8236-4D78-B276-82A959A8619C}"/>
    <hyperlink ref="E28" location="'05_Blocker'!A1" display="Blocker →" xr:uid="{DAA40665-F1C6-4B85-A16C-C107D32DDAE6}"/>
    <hyperlink ref="H28" location="'01_Muc_luc'!A1" display="Tất cả sheet →" xr:uid="{6AAD73DF-6E62-4495-B904-B001D0D728F1}"/>
  </hyperlinks>
  <pageMargins left="0.30555555555555558" right="0.30555555555555558" top="0.30555555555555558" bottom="0.30555555555555558" header="0.3" footer="0.3"/>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85B47"/>
    <pageSetUpPr fitToPage="1"/>
  </sheetPr>
  <dimension ref="A1:F55"/>
  <sheetViews>
    <sheetView showGridLines="0" showRowColHeaders="0" zoomScaleNormal="100" workbookViewId="0"/>
  </sheetViews>
  <sheetFormatPr defaultRowHeight="13.8"/>
  <cols>
    <col min="1" max="1" width="3.5" customWidth="1"/>
    <col min="2" max="2" width="6.8984375" customWidth="1"/>
    <col min="3" max="3" width="48.09765625" customWidth="1"/>
    <col min="4" max="4" width="5" customWidth="1"/>
    <col min="5" max="5" width="6.8984375" customWidth="1"/>
    <col min="6" max="6" width="66.8984375" customWidth="1"/>
  </cols>
  <sheetData>
    <row r="1" spans="1:6" ht="24" customHeight="1">
      <c r="A1" s="1"/>
      <c r="B1" s="1"/>
      <c r="C1" s="1"/>
      <c r="D1" s="1"/>
      <c r="E1" s="1"/>
      <c r="F1" s="1"/>
    </row>
    <row r="2" spans="1:6" ht="24" customHeight="1">
      <c r="A2" s="1"/>
      <c r="B2" s="16" t="s">
        <v>18</v>
      </c>
      <c r="C2" s="16"/>
      <c r="D2" s="16"/>
      <c r="E2" s="16"/>
      <c r="F2" s="16"/>
    </row>
    <row r="3" spans="1:6" ht="24" customHeight="1">
      <c r="A3" s="1"/>
      <c r="B3" s="1"/>
      <c r="C3" s="1"/>
      <c r="D3" s="1"/>
      <c r="E3" s="1"/>
      <c r="F3" s="1"/>
    </row>
    <row r="4" spans="1:6" ht="39" customHeight="1">
      <c r="A4" s="1"/>
      <c r="B4" s="17" t="s">
        <v>19</v>
      </c>
      <c r="C4" s="17"/>
      <c r="D4" s="17"/>
      <c r="E4" s="17"/>
      <c r="F4" s="17"/>
    </row>
    <row r="5" spans="1:6" ht="30" customHeight="1">
      <c r="A5" s="1"/>
      <c r="B5" s="11" t="s">
        <v>20</v>
      </c>
      <c r="C5" s="11"/>
      <c r="D5" s="11"/>
      <c r="E5" s="11"/>
      <c r="F5" s="11"/>
    </row>
    <row r="6" spans="1:6" ht="10.050000000000001" customHeight="1">
      <c r="A6" s="1"/>
      <c r="B6" s="2"/>
      <c r="C6" s="2"/>
      <c r="D6" s="2"/>
      <c r="E6" s="2"/>
      <c r="F6" s="2"/>
    </row>
    <row r="7" spans="1:6" ht="12" customHeight="1">
      <c r="A7" s="1"/>
      <c r="B7" s="1"/>
      <c r="C7" s="1"/>
      <c r="D7" s="1"/>
      <c r="E7" s="1"/>
      <c r="F7" s="1"/>
    </row>
    <row r="8" spans="1:6" ht="24" customHeight="1">
      <c r="A8" s="1"/>
      <c r="B8" s="20" t="s">
        <v>21</v>
      </c>
      <c r="C8" s="20"/>
      <c r="D8" s="1"/>
      <c r="E8" s="20" t="s">
        <v>22</v>
      </c>
      <c r="F8" s="20"/>
    </row>
    <row r="9" spans="1:6" ht="18" customHeight="1">
      <c r="A9" s="1"/>
      <c r="B9" s="1"/>
      <c r="C9" s="1"/>
      <c r="D9" s="1"/>
      <c r="E9" s="1"/>
      <c r="F9" s="1"/>
    </row>
    <row r="10" spans="1:6" ht="18" customHeight="1">
      <c r="A10" s="1"/>
      <c r="B10" s="11" t="s">
        <v>23</v>
      </c>
      <c r="C10" s="12" t="s">
        <v>24</v>
      </c>
      <c r="D10" s="1"/>
      <c r="E10" s="11" t="s">
        <v>25</v>
      </c>
      <c r="F10" s="12" t="s">
        <v>26</v>
      </c>
    </row>
    <row r="11" spans="1:6" ht="18" customHeight="1">
      <c r="A11" s="1"/>
      <c r="B11" s="11"/>
      <c r="C11" s="19"/>
      <c r="D11" s="1"/>
      <c r="E11" s="11"/>
      <c r="F11" s="19"/>
    </row>
    <row r="12" spans="1:6" ht="18" customHeight="1">
      <c r="A12" s="1"/>
      <c r="B12" s="11" t="s">
        <v>27</v>
      </c>
      <c r="C12" s="12" t="s">
        <v>28</v>
      </c>
      <c r="D12" s="1"/>
      <c r="E12" s="11" t="s">
        <v>29</v>
      </c>
      <c r="F12" s="12" t="s">
        <v>30</v>
      </c>
    </row>
    <row r="13" spans="1:6" ht="18" customHeight="1">
      <c r="A13" s="1"/>
      <c r="B13" s="11"/>
      <c r="C13" s="19"/>
      <c r="D13" s="1"/>
      <c r="E13" s="11"/>
      <c r="F13" s="19"/>
    </row>
    <row r="14" spans="1:6" ht="18" customHeight="1">
      <c r="A14" s="1"/>
      <c r="B14" s="11" t="s">
        <v>31</v>
      </c>
      <c r="C14" s="12" t="s">
        <v>32</v>
      </c>
      <c r="D14" s="1"/>
      <c r="E14" s="11" t="s">
        <v>33</v>
      </c>
      <c r="F14" s="12" t="s">
        <v>34</v>
      </c>
    </row>
    <row r="15" spans="1:6" ht="18" customHeight="1">
      <c r="A15" s="1"/>
      <c r="B15" s="11"/>
      <c r="C15" s="19"/>
      <c r="D15" s="1"/>
      <c r="E15" s="11"/>
      <c r="F15" s="19"/>
    </row>
    <row r="16" spans="1:6" ht="18" customHeight="1">
      <c r="A16" s="1"/>
      <c r="B16" s="11" t="s">
        <v>35</v>
      </c>
      <c r="C16" s="12" t="s">
        <v>36</v>
      </c>
      <c r="D16" s="1"/>
      <c r="E16" s="11" t="s">
        <v>37</v>
      </c>
      <c r="F16" s="12" t="s">
        <v>38</v>
      </c>
    </row>
    <row r="17" spans="1:6" ht="18" customHeight="1">
      <c r="A17" s="1"/>
      <c r="B17" s="11"/>
      <c r="C17" s="19"/>
      <c r="D17" s="1"/>
      <c r="E17" s="11"/>
      <c r="F17" s="19"/>
    </row>
    <row r="18" spans="1:6" ht="18" customHeight="1">
      <c r="A18" s="1"/>
      <c r="B18" s="11" t="s">
        <v>39</v>
      </c>
      <c r="C18" s="12" t="s">
        <v>40</v>
      </c>
      <c r="D18" s="1"/>
      <c r="E18" s="11" t="s">
        <v>41</v>
      </c>
      <c r="F18" s="12" t="s">
        <v>42</v>
      </c>
    </row>
    <row r="19" spans="1:6" ht="18" customHeight="1">
      <c r="A19" s="1"/>
      <c r="B19" s="11"/>
      <c r="C19" s="19"/>
      <c r="D19" s="1"/>
      <c r="E19" s="11"/>
      <c r="F19" s="19"/>
    </row>
    <row r="20" spans="1:6" ht="18" customHeight="1">
      <c r="A20" s="1"/>
      <c r="B20" s="11" t="s">
        <v>43</v>
      </c>
      <c r="C20" s="12" t="s">
        <v>44</v>
      </c>
      <c r="D20" s="1"/>
      <c r="E20" s="11" t="s">
        <v>45</v>
      </c>
      <c r="F20" s="12" t="s">
        <v>46</v>
      </c>
    </row>
    <row r="21" spans="1:6" ht="18" customHeight="1">
      <c r="A21" s="1"/>
      <c r="B21" s="11"/>
      <c r="C21" s="19"/>
      <c r="D21" s="1"/>
      <c r="E21" s="11"/>
      <c r="F21" s="19"/>
    </row>
    <row r="22" spans="1:6" ht="18" customHeight="1">
      <c r="A22" s="1"/>
      <c r="B22" s="1"/>
      <c r="C22" s="1"/>
      <c r="D22" s="1"/>
      <c r="E22" s="1"/>
      <c r="F22" s="1"/>
    </row>
    <row r="23" spans="1:6" ht="18" customHeight="1">
      <c r="A23" s="1"/>
      <c r="B23" s="1"/>
      <c r="C23" s="1"/>
      <c r="D23" s="1"/>
      <c r="E23" s="1"/>
      <c r="F23" s="1"/>
    </row>
    <row r="24" spans="1:6" ht="18" customHeight="1">
      <c r="A24" s="1"/>
      <c r="B24" s="20" t="s">
        <v>47</v>
      </c>
      <c r="C24" s="20"/>
      <c r="D24" s="1"/>
      <c r="E24" s="20" t="s">
        <v>48</v>
      </c>
      <c r="F24" s="20"/>
    </row>
    <row r="25" spans="1:6" ht="18" customHeight="1">
      <c r="A25" s="1"/>
      <c r="B25" s="1"/>
      <c r="C25" s="1"/>
      <c r="D25" s="1"/>
      <c r="E25" s="1"/>
      <c r="F25" s="1"/>
    </row>
    <row r="26" spans="1:6" ht="18" customHeight="1">
      <c r="A26" s="1"/>
      <c r="B26" s="11" t="s">
        <v>49</v>
      </c>
      <c r="C26" s="12" t="s">
        <v>50</v>
      </c>
      <c r="D26" s="1"/>
      <c r="E26" s="11" t="s">
        <v>51</v>
      </c>
      <c r="F26" s="12" t="s">
        <v>1</v>
      </c>
    </row>
    <row r="27" spans="1:6" ht="18" customHeight="1">
      <c r="A27" s="1"/>
      <c r="B27" s="11"/>
      <c r="C27" s="19"/>
      <c r="D27" s="1"/>
      <c r="E27" s="11"/>
      <c r="F27" s="19"/>
    </row>
    <row r="28" spans="1:6" ht="18" customHeight="1">
      <c r="A28" s="1"/>
      <c r="B28" s="11" t="s">
        <v>52</v>
      </c>
      <c r="C28" s="12" t="s">
        <v>53</v>
      </c>
      <c r="D28" s="1"/>
      <c r="E28" s="11" t="s">
        <v>54</v>
      </c>
      <c r="F28" s="12" t="s">
        <v>55</v>
      </c>
    </row>
    <row r="29" spans="1:6" ht="18" customHeight="1">
      <c r="A29" s="1"/>
      <c r="B29" s="11"/>
      <c r="C29" s="19"/>
      <c r="D29" s="1"/>
      <c r="E29" s="11"/>
      <c r="F29" s="19"/>
    </row>
    <row r="30" spans="1:6" ht="18" customHeight="1">
      <c r="A30" s="1"/>
      <c r="B30" s="11" t="s">
        <v>56</v>
      </c>
      <c r="C30" s="12" t="s">
        <v>57</v>
      </c>
      <c r="D30" s="1"/>
      <c r="E30" s="11" t="s">
        <v>58</v>
      </c>
      <c r="F30" s="12" t="s">
        <v>59</v>
      </c>
    </row>
    <row r="31" spans="1:6" ht="18" customHeight="1">
      <c r="A31" s="1"/>
      <c r="B31" s="11"/>
      <c r="C31" s="19"/>
      <c r="D31" s="1"/>
      <c r="E31" s="11"/>
      <c r="F31" s="19"/>
    </row>
    <row r="32" spans="1:6" ht="18" customHeight="1">
      <c r="A32" s="1"/>
      <c r="B32" s="11" t="s">
        <v>60</v>
      </c>
      <c r="C32" s="12" t="s">
        <v>61</v>
      </c>
      <c r="D32" s="1"/>
      <c r="E32" s="1"/>
      <c r="F32" s="1"/>
    </row>
    <row r="33" spans="1:6" ht="18" customHeight="1">
      <c r="A33" s="1"/>
      <c r="B33" s="11"/>
      <c r="C33" s="19"/>
      <c r="D33" s="1"/>
      <c r="E33" s="1"/>
      <c r="F33" s="1"/>
    </row>
    <row r="34" spans="1:6" ht="18" customHeight="1">
      <c r="A34" s="1"/>
      <c r="B34" s="11" t="s">
        <v>62</v>
      </c>
      <c r="C34" s="12" t="s">
        <v>63</v>
      </c>
      <c r="D34" s="1"/>
      <c r="E34" s="1"/>
      <c r="F34" s="1"/>
    </row>
    <row r="35" spans="1:6" ht="18" customHeight="1">
      <c r="A35" s="1"/>
      <c r="B35" s="11"/>
      <c r="C35" s="19"/>
      <c r="D35" s="1"/>
      <c r="E35" s="1"/>
      <c r="F35" s="1"/>
    </row>
    <row r="36" spans="1:6" ht="18" customHeight="1">
      <c r="A36" s="1"/>
      <c r="B36" s="11" t="s">
        <v>64</v>
      </c>
      <c r="C36" s="12" t="s">
        <v>65</v>
      </c>
      <c r="D36" s="1"/>
      <c r="E36" s="1"/>
      <c r="F36" s="1"/>
    </row>
    <row r="37" spans="1:6" ht="18" customHeight="1">
      <c r="A37" s="1"/>
      <c r="B37" s="11"/>
      <c r="C37" s="19"/>
      <c r="D37" s="1"/>
      <c r="E37" s="1"/>
      <c r="F37" s="1"/>
    </row>
    <row r="38" spans="1:6" ht="18" customHeight="1">
      <c r="A38" s="1"/>
      <c r="B38" s="1"/>
      <c r="C38" s="1"/>
      <c r="D38" s="1"/>
      <c r="E38" s="1"/>
      <c r="F38" s="1"/>
    </row>
    <row r="39" spans="1:6" ht="18" customHeight="1">
      <c r="A39" s="1"/>
      <c r="B39" s="1"/>
      <c r="C39" s="1"/>
      <c r="D39" s="1"/>
      <c r="E39" s="1"/>
      <c r="F39" s="1"/>
    </row>
    <row r="40" spans="1:6" ht="24" customHeight="1">
      <c r="A40" s="1"/>
      <c r="B40" s="1"/>
      <c r="C40" s="1"/>
      <c r="D40" s="1"/>
      <c r="E40" s="1"/>
      <c r="F40" s="1"/>
    </row>
    <row r="41" spans="1:6" ht="24" customHeight="1">
      <c r="A41" s="1"/>
      <c r="B41" s="1"/>
      <c r="C41" s="1"/>
      <c r="D41" s="1"/>
      <c r="E41" s="1"/>
      <c r="F41" s="1"/>
    </row>
    <row r="42" spans="1:6" ht="24" customHeight="1">
      <c r="A42" s="1"/>
      <c r="B42" s="1"/>
      <c r="C42" s="1"/>
      <c r="D42" s="1"/>
      <c r="E42" s="1"/>
      <c r="F42" s="1"/>
    </row>
    <row r="43" spans="1:6" ht="24" customHeight="1">
      <c r="A43" s="1"/>
      <c r="B43" s="1"/>
      <c r="C43" s="1"/>
      <c r="D43" s="1"/>
      <c r="E43" s="1"/>
      <c r="F43" s="1"/>
    </row>
    <row r="44" spans="1:6" ht="24" customHeight="1">
      <c r="A44" s="1"/>
      <c r="B44" s="1"/>
      <c r="C44" s="1"/>
      <c r="D44" s="1"/>
      <c r="E44" s="1"/>
      <c r="F44" s="1"/>
    </row>
    <row r="45" spans="1:6" ht="24" customHeight="1">
      <c r="A45" s="1"/>
      <c r="B45" s="1"/>
      <c r="C45" s="1"/>
      <c r="D45" s="1"/>
      <c r="E45" s="1"/>
      <c r="F45" s="1"/>
    </row>
    <row r="46" spans="1:6" ht="24" customHeight="1">
      <c r="A46" s="1"/>
      <c r="B46" s="1"/>
      <c r="C46" s="1"/>
      <c r="D46" s="1"/>
      <c r="E46" s="1"/>
      <c r="F46" s="1"/>
    </row>
    <row r="47" spans="1:6" ht="24" customHeight="1">
      <c r="A47" s="1"/>
      <c r="B47" s="1"/>
      <c r="C47" s="1"/>
      <c r="D47" s="1"/>
      <c r="E47" s="1"/>
      <c r="F47" s="1"/>
    </row>
    <row r="48" spans="1:6" ht="24" customHeight="1">
      <c r="A48" s="1"/>
      <c r="B48" s="1"/>
      <c r="C48" s="1"/>
      <c r="D48" s="1"/>
      <c r="E48" s="1"/>
      <c r="F48" s="1"/>
    </row>
    <row r="49" spans="1:6" ht="24" customHeight="1">
      <c r="A49" s="1"/>
      <c r="B49" s="1"/>
      <c r="C49" s="1"/>
      <c r="D49" s="1"/>
      <c r="E49" s="1"/>
      <c r="F49" s="1"/>
    </row>
    <row r="50" spans="1:6" ht="24" customHeight="1">
      <c r="A50" s="1"/>
      <c r="B50" s="1"/>
      <c r="C50" s="1"/>
      <c r="D50" s="1"/>
      <c r="E50" s="1"/>
      <c r="F50" s="1"/>
    </row>
    <row r="51" spans="1:6" ht="24" customHeight="1">
      <c r="A51" s="1"/>
      <c r="B51" s="1"/>
      <c r="C51" s="1"/>
      <c r="D51" s="1"/>
      <c r="E51" s="1"/>
      <c r="F51" s="1"/>
    </row>
    <row r="52" spans="1:6" ht="24" customHeight="1">
      <c r="A52" s="1"/>
      <c r="B52" s="1"/>
      <c r="C52" s="1"/>
      <c r="D52" s="1"/>
      <c r="E52" s="1"/>
      <c r="F52" s="1"/>
    </row>
    <row r="53" spans="1:6" ht="24" customHeight="1">
      <c r="A53" s="1"/>
      <c r="B53" s="1"/>
      <c r="C53" s="1"/>
      <c r="D53" s="1"/>
      <c r="E53" s="1"/>
      <c r="F53" s="1"/>
    </row>
    <row r="54" spans="1:6" ht="24" customHeight="1">
      <c r="A54" s="1"/>
      <c r="B54" s="1"/>
      <c r="C54" s="1"/>
      <c r="D54" s="1"/>
      <c r="E54" s="1"/>
      <c r="F54" s="1"/>
    </row>
    <row r="55" spans="1:6" ht="24" customHeight="1">
      <c r="A55" s="1"/>
      <c r="B55" s="1"/>
      <c r="C55" s="1"/>
      <c r="D55" s="1"/>
      <c r="E55" s="1"/>
      <c r="F55" s="1"/>
    </row>
  </sheetData>
  <mergeCells count="49">
    <mergeCell ref="B36:B37"/>
    <mergeCell ref="E10:E11"/>
    <mergeCell ref="E12:E13"/>
    <mergeCell ref="E14:E15"/>
    <mergeCell ref="E16:E17"/>
    <mergeCell ref="E18:E19"/>
    <mergeCell ref="E20:E21"/>
    <mergeCell ref="E26:E27"/>
    <mergeCell ref="E28:E29"/>
    <mergeCell ref="E30:E31"/>
    <mergeCell ref="B12:B13"/>
    <mergeCell ref="B14:B15"/>
    <mergeCell ref="B16:B17"/>
    <mergeCell ref="B18:B19"/>
    <mergeCell ref="B20:B21"/>
    <mergeCell ref="B2:F2"/>
    <mergeCell ref="B4:F4"/>
    <mergeCell ref="B5:F5"/>
    <mergeCell ref="B8:C8"/>
    <mergeCell ref="C10:C11"/>
    <mergeCell ref="E8:F8"/>
    <mergeCell ref="F10:F11"/>
    <mergeCell ref="B10:B11"/>
    <mergeCell ref="C12:C13"/>
    <mergeCell ref="C14:C15"/>
    <mergeCell ref="C16:C17"/>
    <mergeCell ref="C18:C19"/>
    <mergeCell ref="C20:C21"/>
    <mergeCell ref="F12:F13"/>
    <mergeCell ref="F14:F15"/>
    <mergeCell ref="F16:F17"/>
    <mergeCell ref="F18:F19"/>
    <mergeCell ref="F20:F21"/>
    <mergeCell ref="C34:C35"/>
    <mergeCell ref="C36:C37"/>
    <mergeCell ref="E24:F24"/>
    <mergeCell ref="F26:F27"/>
    <mergeCell ref="F28:F29"/>
    <mergeCell ref="F30:F31"/>
    <mergeCell ref="B24:C24"/>
    <mergeCell ref="C26:C27"/>
    <mergeCell ref="C28:C29"/>
    <mergeCell ref="C30:C31"/>
    <mergeCell ref="C32:C33"/>
    <mergeCell ref="B26:B27"/>
    <mergeCell ref="B28:B29"/>
    <mergeCell ref="B30:B31"/>
    <mergeCell ref="B32:B33"/>
    <mergeCell ref="B34:B35"/>
  </mergeCells>
  <hyperlinks>
    <hyperlink ref="C10" location="'02_Cong_viec'!A1" display="Công việc" xr:uid="{E4BA866D-138E-4FD9-BB8C-C728590C71B5}"/>
    <hyperlink ref="C12" location="'03_Hanh_dong'!A1" display="Hành động tiếp theo" xr:uid="{D0D59800-F99F-405A-B743-0F433BB26502}"/>
    <hyperlink ref="C14" location="'04_Nghiem_thu'!A1" display="Nghiệm thu task" xr:uid="{D1BC429A-EFAE-4407-8B97-740E0AE5FC5F}"/>
    <hyperlink ref="C16" location="'05_Blocker'!A1" display="Blocker" xr:uid="{E654EA1E-1C89-41D2-91E5-CB831C4B3D0E}"/>
    <hyperlink ref="C18" location="'06_Roadmap'!A1" display="Roadmap" xr:uid="{11B32BB6-537E-42FE-8959-5D7C093C231D}"/>
    <hyperlink ref="C20" location="'07_Checklist_P1'!A1" display="Checklist Phase 1" xr:uid="{AFE2EF67-17EC-4E9E-9B9F-6EF8F1F3BC48}"/>
    <hyperlink ref="F10" location="'08_San_pham'!A1" display="Sản phẩm Mingo" xr:uid="{F0B8B05A-E81B-46F0-B502-E2A0D558615C}"/>
    <hyperlink ref="F12" location="'09_Luong_hoc'!A1" display="Luồng học" xr:uid="{9A0E07B8-FE9D-4744-A8E3-0C844487B03F}"/>
    <hyperlink ref="F14" location="'10_Quy_tac'!A1" display="Quy tắc nghiệp vụ" xr:uid="{B11293BD-88CC-44DF-A454-EE76D4577F26}"/>
    <hyperlink ref="F16" location="'11_Da_chot'!A1" display="Nội dung đã chốt" xr:uid="{AE06D35B-7849-4513-8621-9F39B63BE77C}"/>
    <hyperlink ref="F18" location="'12_Gia_thuyet'!A1" display="Giả thuyết &amp; chính sách" xr:uid="{DEFA35BC-1BC4-4277-8DF6-1F7D4C13D80E}"/>
    <hyperlink ref="F20" location="'13_Baseline_V3_2'!A1" display="Baseline V3.2" xr:uid="{CF27CE60-0363-4E5C-B87B-D177392D91C2}"/>
    <hyperlink ref="C26" location="'14_Van_de'!A1" display="Vấn đề" xr:uid="{315F2EE5-2F13-405D-BEB7-23B0727190BD}"/>
    <hyperlink ref="C28" location="'15_Xu_ly_van_de'!A1" display="Xử lý vấn đề" xr:uid="{5D0BCCCD-A869-49AB-B805-02C6B0642023}"/>
    <hyperlink ref="C30" location="'16_Thay_doi'!A1" display="Đề nghị thay đổi" xr:uid="{93E62B4C-4353-4E80-9375-EE985929BF1F}"/>
    <hyperlink ref="C32" location="'17_Ghi_chu'!A1" display="Ghi chú &amp; action" xr:uid="{ACC88525-7EE6-48A8-AA87-D9702EECF44B}"/>
    <hyperlink ref="C34" location="'18_Bang_chung'!A1" display="Bằng chứng" xr:uid="{4FCB4CE5-CDA5-4349-A6AC-7082627B6623}"/>
    <hyperlink ref="C36" location="'19_Pham_vi_test'!A1" display="Phạm vi bằng chứng" xr:uid="{F980E081-898B-41D0-B159-661463C857FD}"/>
    <hyperlink ref="F26" location="'00_Tong_quan'!A1" display="Tổng quan" xr:uid="{1856649B-7150-4414-9D08-A2EAA7D96138}"/>
    <hyperlink ref="F28" location="'20_Cach_lam_viec'!A1" display="Cách làm việc" xr:uid="{8490A13A-AC27-449D-B81D-DBB95B4059B8}"/>
    <hyperlink ref="F30" location="'21_Tu_dien'!A1" display="Từ điển dự án" xr:uid="{FB355DC5-3509-4E19-84B7-5FA03076CC7C}"/>
  </hyperlinks>
  <pageMargins left="0.30555555555555558" right="0.30555555555555558" top="0.30555555555555558" bottom="0.30555555555555558" header="0.3" footer="0.3"/>
  <pageSetup paperSize="8" scale="8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EBDB2"/>
    <pageSetUpPr fitToPage="1"/>
  </sheetPr>
  <dimension ref="A1:I204"/>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12.19921875" customWidth="1"/>
    <col min="3" max="3" width="6.8984375" customWidth="1"/>
    <col min="4" max="4" width="40.59765625" customWidth="1"/>
    <col min="5" max="5" width="8.5" customWidth="1"/>
    <col min="6" max="6" width="16" customWidth="1"/>
    <col min="7" max="7" width="16.8984375" customWidth="1"/>
    <col min="8" max="8" width="13.09765625" customWidth="1"/>
    <col min="9" max="9" width="14.3984375" customWidth="1"/>
  </cols>
  <sheetData>
    <row r="1" spans="1:9" ht="24" customHeight="1">
      <c r="A1" s="1"/>
      <c r="B1" s="1"/>
      <c r="C1" s="1"/>
      <c r="D1" s="1"/>
      <c r="E1" s="1"/>
      <c r="F1" s="1"/>
      <c r="G1" s="1"/>
      <c r="H1" s="1"/>
      <c r="I1" s="10" t="s">
        <v>572</v>
      </c>
    </row>
    <row r="2" spans="1:9" ht="24" customHeight="1">
      <c r="A2" s="1"/>
      <c r="B2" s="16" t="s">
        <v>66</v>
      </c>
      <c r="C2" s="16"/>
      <c r="D2" s="16"/>
      <c r="E2" s="16"/>
      <c r="F2" s="16"/>
      <c r="G2" s="16"/>
      <c r="H2" s="16"/>
      <c r="I2" s="16"/>
    </row>
    <row r="3" spans="1:9" ht="24" customHeight="1">
      <c r="A3" s="1"/>
      <c r="B3" s="1"/>
      <c r="C3" s="1"/>
      <c r="D3" s="1"/>
      <c r="E3" s="1"/>
      <c r="F3" s="1"/>
      <c r="G3" s="1"/>
      <c r="H3" s="1"/>
      <c r="I3" s="1"/>
    </row>
    <row r="4" spans="1:9" ht="39" customHeight="1">
      <c r="A4" s="1"/>
      <c r="B4" s="17" t="s">
        <v>24</v>
      </c>
      <c r="C4" s="17"/>
      <c r="D4" s="17"/>
      <c r="E4" s="17"/>
      <c r="F4" s="17"/>
      <c r="G4" s="17"/>
      <c r="H4" s="17"/>
      <c r="I4" s="17"/>
    </row>
    <row r="5" spans="1:9" ht="30" customHeight="1">
      <c r="A5" s="1"/>
      <c r="B5" s="11" t="s">
        <v>67</v>
      </c>
      <c r="C5" s="11"/>
      <c r="D5" s="11"/>
      <c r="E5" s="11"/>
      <c r="F5" s="11"/>
      <c r="G5" s="11"/>
      <c r="H5" s="11"/>
      <c r="I5" s="11"/>
    </row>
    <row r="6" spans="1:9" ht="10.050000000000001" customHeight="1">
      <c r="A6" s="1"/>
      <c r="B6" s="2"/>
      <c r="C6" s="2"/>
      <c r="D6" s="2"/>
      <c r="E6" s="2"/>
      <c r="F6" s="2"/>
      <c r="G6" s="2"/>
      <c r="H6" s="2"/>
      <c r="I6" s="2"/>
    </row>
    <row r="7" spans="1:9" ht="12" customHeight="1">
      <c r="A7" s="1"/>
      <c r="B7" s="1"/>
      <c r="C7" s="1"/>
      <c r="D7" s="1"/>
      <c r="E7" s="1"/>
      <c r="F7" s="1"/>
      <c r="G7" s="1"/>
      <c r="H7" s="1"/>
      <c r="I7" s="1"/>
    </row>
    <row r="8" spans="1:9" ht="31.05" customHeight="1">
      <c r="A8" s="1"/>
      <c r="B8" s="3" t="s">
        <v>68</v>
      </c>
      <c r="C8" s="3" t="s">
        <v>69</v>
      </c>
      <c r="D8" s="3" t="s">
        <v>24</v>
      </c>
      <c r="E8" s="3" t="s">
        <v>70</v>
      </c>
      <c r="F8" s="3" t="s">
        <v>71</v>
      </c>
      <c r="G8" s="3" t="s">
        <v>72</v>
      </c>
      <c r="H8" s="3" t="s">
        <v>73</v>
      </c>
      <c r="I8" s="3" t="s">
        <v>74</v>
      </c>
    </row>
    <row r="9" spans="1:9" ht="37.049999999999997" customHeight="1">
      <c r="A9" s="1"/>
      <c r="B9" s="2" t="s">
        <v>75</v>
      </c>
      <c r="C9" s="2" t="s">
        <v>76</v>
      </c>
      <c r="D9" s="2" t="s">
        <v>77</v>
      </c>
      <c r="E9" s="2" t="s">
        <v>78</v>
      </c>
      <c r="F9" s="7" t="s">
        <v>79</v>
      </c>
      <c r="G9" s="2"/>
      <c r="H9" s="34"/>
      <c r="I9" s="34">
        <v>46292</v>
      </c>
    </row>
    <row r="10" spans="1:9" ht="37.049999999999997" customHeight="1">
      <c r="A10" s="1"/>
      <c r="B10" s="2" t="s">
        <v>80</v>
      </c>
      <c r="C10" s="2" t="s">
        <v>76</v>
      </c>
      <c r="D10" s="2" t="s">
        <v>81</v>
      </c>
      <c r="E10" s="2" t="s">
        <v>78</v>
      </c>
      <c r="F10" s="7" t="s">
        <v>82</v>
      </c>
      <c r="G10" s="2"/>
      <c r="H10" s="34"/>
      <c r="I10" s="34">
        <v>46292</v>
      </c>
    </row>
    <row r="11" spans="1:9" ht="37.049999999999997" customHeight="1">
      <c r="A11" s="1"/>
      <c r="B11" s="2" t="s">
        <v>83</v>
      </c>
      <c r="C11" s="2" t="s">
        <v>76</v>
      </c>
      <c r="D11" s="2" t="s">
        <v>84</v>
      </c>
      <c r="E11" s="2" t="s">
        <v>78</v>
      </c>
      <c r="F11" s="7" t="s">
        <v>82</v>
      </c>
      <c r="G11" s="2"/>
      <c r="H11" s="34"/>
      <c r="I11" s="34">
        <v>46292</v>
      </c>
    </row>
    <row r="12" spans="1:9" ht="37.049999999999997" customHeight="1">
      <c r="A12" s="1"/>
      <c r="B12" s="2" t="s">
        <v>85</v>
      </c>
      <c r="C12" s="2" t="s">
        <v>76</v>
      </c>
      <c r="D12" s="2" t="s">
        <v>86</v>
      </c>
      <c r="E12" s="2" t="s">
        <v>78</v>
      </c>
      <c r="F12" s="7" t="s">
        <v>82</v>
      </c>
      <c r="G12" s="2"/>
      <c r="H12" s="34"/>
      <c r="I12" s="34">
        <v>46292</v>
      </c>
    </row>
    <row r="13" spans="1:9" ht="37.049999999999997" customHeight="1">
      <c r="A13" s="1"/>
      <c r="B13" s="2" t="s">
        <v>87</v>
      </c>
      <c r="C13" s="2" t="s">
        <v>76</v>
      </c>
      <c r="D13" s="2" t="s">
        <v>88</v>
      </c>
      <c r="E13" s="2" t="s">
        <v>78</v>
      </c>
      <c r="F13" s="7" t="s">
        <v>89</v>
      </c>
      <c r="G13" s="2"/>
      <c r="H13" s="34"/>
      <c r="I13" s="34">
        <v>46292</v>
      </c>
    </row>
    <row r="14" spans="1:9" ht="37.049999999999997" customHeight="1">
      <c r="A14" s="1"/>
      <c r="B14" s="2" t="s">
        <v>90</v>
      </c>
      <c r="C14" s="2" t="s">
        <v>76</v>
      </c>
      <c r="D14" s="2" t="s">
        <v>91</v>
      </c>
      <c r="E14" s="2" t="s">
        <v>78</v>
      </c>
      <c r="F14" s="7" t="s">
        <v>89</v>
      </c>
      <c r="G14" s="2"/>
      <c r="H14" s="34"/>
      <c r="I14" s="34">
        <v>46292</v>
      </c>
    </row>
    <row r="15" spans="1:9" ht="37.049999999999997" customHeight="1">
      <c r="A15" s="1"/>
      <c r="B15" s="2" t="s">
        <v>92</v>
      </c>
      <c r="C15" s="2" t="s">
        <v>76</v>
      </c>
      <c r="D15" s="2" t="s">
        <v>93</v>
      </c>
      <c r="E15" s="2" t="s">
        <v>78</v>
      </c>
      <c r="F15" s="7" t="s">
        <v>89</v>
      </c>
      <c r="G15" s="2"/>
      <c r="H15" s="34"/>
      <c r="I15" s="34">
        <v>46292</v>
      </c>
    </row>
    <row r="16" spans="1:9" ht="37.049999999999997" customHeight="1">
      <c r="A16" s="1"/>
      <c r="B16" s="2" t="s">
        <v>94</v>
      </c>
      <c r="C16" s="2" t="s">
        <v>76</v>
      </c>
      <c r="D16" s="2" t="s">
        <v>95</v>
      </c>
      <c r="E16" s="2" t="s">
        <v>78</v>
      </c>
      <c r="F16" s="7" t="s">
        <v>89</v>
      </c>
      <c r="G16" s="2"/>
      <c r="H16" s="34"/>
      <c r="I16" s="34">
        <v>46292</v>
      </c>
    </row>
    <row r="17" spans="1:9" ht="37.049999999999997" customHeight="1">
      <c r="A17" s="1"/>
      <c r="B17" s="2" t="s">
        <v>96</v>
      </c>
      <c r="C17" s="2" t="s">
        <v>76</v>
      </c>
      <c r="D17" s="2" t="s">
        <v>97</v>
      </c>
      <c r="E17" s="2" t="s">
        <v>78</v>
      </c>
      <c r="F17" s="7" t="s">
        <v>89</v>
      </c>
      <c r="G17" s="2"/>
      <c r="H17" s="34"/>
      <c r="I17" s="34">
        <v>46292</v>
      </c>
    </row>
    <row r="18" spans="1:9" ht="37.049999999999997" customHeight="1">
      <c r="A18" s="1"/>
      <c r="B18" s="2" t="s">
        <v>98</v>
      </c>
      <c r="C18" s="2" t="s">
        <v>76</v>
      </c>
      <c r="D18" s="2" t="s">
        <v>99</v>
      </c>
      <c r="E18" s="2" t="s">
        <v>78</v>
      </c>
      <c r="F18" s="7" t="s">
        <v>89</v>
      </c>
      <c r="G18" s="2"/>
      <c r="H18" s="34"/>
      <c r="I18" s="34">
        <v>46292</v>
      </c>
    </row>
    <row r="19" spans="1:9" ht="37.049999999999997" customHeight="1">
      <c r="A19" s="1"/>
      <c r="B19" s="2" t="s">
        <v>100</v>
      </c>
      <c r="C19" s="2" t="s">
        <v>76</v>
      </c>
      <c r="D19" s="2" t="s">
        <v>101</v>
      </c>
      <c r="E19" s="2" t="s">
        <v>78</v>
      </c>
      <c r="F19" s="7" t="s">
        <v>89</v>
      </c>
      <c r="G19" s="2"/>
      <c r="H19" s="34"/>
      <c r="I19" s="34">
        <v>46292</v>
      </c>
    </row>
    <row r="20" spans="1:9" ht="37.049999999999997" customHeight="1">
      <c r="A20" s="1"/>
      <c r="B20" s="2" t="s">
        <v>102</v>
      </c>
      <c r="C20" s="2" t="s">
        <v>76</v>
      </c>
      <c r="D20" s="2" t="s">
        <v>103</v>
      </c>
      <c r="E20" s="2" t="s">
        <v>78</v>
      </c>
      <c r="F20" s="7" t="s">
        <v>89</v>
      </c>
      <c r="G20" s="2"/>
      <c r="H20" s="34"/>
      <c r="I20" s="34">
        <v>46292</v>
      </c>
    </row>
    <row r="21" spans="1:9" ht="37.049999999999997" customHeight="1">
      <c r="A21" s="1"/>
      <c r="B21" s="2" t="s">
        <v>104</v>
      </c>
      <c r="C21" s="2" t="s">
        <v>105</v>
      </c>
      <c r="D21" s="2" t="s">
        <v>106</v>
      </c>
      <c r="E21" s="2" t="s">
        <v>76</v>
      </c>
      <c r="F21" s="7" t="s">
        <v>107</v>
      </c>
      <c r="G21" s="2"/>
      <c r="H21" s="34"/>
      <c r="I21" s="34">
        <v>46292</v>
      </c>
    </row>
    <row r="22" spans="1:9" ht="24" customHeight="1">
      <c r="A22" s="1"/>
      <c r="B22" s="1"/>
      <c r="C22" s="1"/>
      <c r="D22" s="1"/>
      <c r="E22" s="1"/>
      <c r="F22" s="8"/>
      <c r="G22" s="1"/>
      <c r="H22" s="35"/>
      <c r="I22" s="35"/>
    </row>
    <row r="23" spans="1:9" ht="24" customHeight="1">
      <c r="A23" s="1"/>
      <c r="B23" s="1"/>
      <c r="C23" s="1"/>
      <c r="D23" s="1"/>
      <c r="E23" s="1"/>
      <c r="F23" s="8"/>
      <c r="G23" s="1"/>
      <c r="H23" s="35"/>
      <c r="I23" s="35"/>
    </row>
    <row r="24" spans="1:9" ht="24" customHeight="1">
      <c r="A24" s="1"/>
      <c r="B24" s="1"/>
      <c r="C24" s="1"/>
      <c r="D24" s="1"/>
      <c r="E24" s="1"/>
      <c r="F24" s="8"/>
      <c r="G24" s="1"/>
      <c r="H24" s="35"/>
      <c r="I24" s="35"/>
    </row>
    <row r="25" spans="1:9" ht="24" customHeight="1">
      <c r="A25" s="1"/>
      <c r="B25" s="1"/>
      <c r="C25" s="1"/>
      <c r="D25" s="1"/>
      <c r="E25" s="1"/>
      <c r="F25" s="8"/>
      <c r="G25" s="1"/>
      <c r="H25" s="35"/>
      <c r="I25" s="35"/>
    </row>
    <row r="26" spans="1:9" ht="24" customHeight="1">
      <c r="A26" s="1"/>
      <c r="B26" s="1"/>
      <c r="C26" s="1"/>
      <c r="D26" s="1"/>
      <c r="E26" s="1"/>
      <c r="F26" s="8"/>
      <c r="G26" s="1"/>
      <c r="H26" s="35"/>
      <c r="I26" s="35"/>
    </row>
    <row r="27" spans="1:9" ht="24" customHeight="1">
      <c r="A27" s="1"/>
      <c r="B27" s="1"/>
      <c r="C27" s="1"/>
      <c r="D27" s="1"/>
      <c r="E27" s="1"/>
      <c r="F27" s="8"/>
      <c r="G27" s="1"/>
      <c r="H27" s="35"/>
      <c r="I27" s="35"/>
    </row>
    <row r="28" spans="1:9" ht="24" customHeight="1">
      <c r="A28" s="1"/>
      <c r="B28" s="1"/>
      <c r="C28" s="1"/>
      <c r="D28" s="1"/>
      <c r="E28" s="1"/>
      <c r="F28" s="8"/>
      <c r="G28" s="1"/>
      <c r="H28" s="35"/>
      <c r="I28" s="35"/>
    </row>
    <row r="29" spans="1:9" ht="24" customHeight="1">
      <c r="A29" s="1"/>
      <c r="B29" s="1"/>
      <c r="C29" s="1"/>
      <c r="D29" s="1"/>
      <c r="E29" s="1"/>
      <c r="F29" s="8"/>
      <c r="G29" s="1"/>
      <c r="H29" s="35"/>
      <c r="I29" s="35"/>
    </row>
    <row r="30" spans="1:9" ht="24" customHeight="1">
      <c r="A30" s="1"/>
      <c r="B30" s="1"/>
      <c r="C30" s="1"/>
      <c r="D30" s="1"/>
      <c r="E30" s="1"/>
      <c r="F30" s="8"/>
      <c r="G30" s="1"/>
      <c r="H30" s="35"/>
      <c r="I30" s="35"/>
    </row>
    <row r="31" spans="1:9" ht="24" customHeight="1">
      <c r="A31" s="1"/>
      <c r="B31" s="1"/>
      <c r="C31" s="1"/>
      <c r="D31" s="1"/>
      <c r="E31" s="1"/>
      <c r="F31" s="8"/>
      <c r="G31" s="1"/>
      <c r="H31" s="35"/>
      <c r="I31" s="35"/>
    </row>
    <row r="32" spans="1:9" ht="24" customHeight="1">
      <c r="A32" s="1"/>
      <c r="B32" s="1"/>
      <c r="C32" s="1"/>
      <c r="D32" s="1"/>
      <c r="E32" s="1"/>
      <c r="F32" s="8"/>
      <c r="G32" s="1"/>
      <c r="H32" s="35"/>
      <c r="I32" s="35"/>
    </row>
    <row r="33" spans="1:9" ht="24" customHeight="1">
      <c r="A33" s="1"/>
      <c r="B33" s="1"/>
      <c r="C33" s="1"/>
      <c r="D33" s="1"/>
      <c r="E33" s="1"/>
      <c r="F33" s="8"/>
      <c r="G33" s="1"/>
      <c r="H33" s="35"/>
      <c r="I33" s="35"/>
    </row>
    <row r="34" spans="1:9" ht="24" customHeight="1">
      <c r="A34" s="1"/>
      <c r="B34" s="1"/>
      <c r="C34" s="1"/>
      <c r="D34" s="1"/>
      <c r="E34" s="1"/>
      <c r="F34" s="8"/>
      <c r="G34" s="1"/>
      <c r="H34" s="35"/>
      <c r="I34" s="35"/>
    </row>
    <row r="35" spans="1:9" ht="24" customHeight="1">
      <c r="A35" s="1"/>
      <c r="B35" s="1"/>
      <c r="C35" s="1"/>
      <c r="D35" s="1"/>
      <c r="E35" s="1"/>
      <c r="F35" s="8"/>
      <c r="G35" s="1"/>
      <c r="H35" s="35"/>
      <c r="I35" s="35"/>
    </row>
    <row r="36" spans="1:9" ht="24" customHeight="1">
      <c r="A36" s="1"/>
      <c r="B36" s="1"/>
      <c r="C36" s="1"/>
      <c r="D36" s="1"/>
      <c r="E36" s="1"/>
      <c r="F36" s="8"/>
      <c r="G36" s="1"/>
      <c r="H36" s="35"/>
      <c r="I36" s="35"/>
    </row>
    <row r="37" spans="1:9" ht="24" customHeight="1">
      <c r="A37" s="1"/>
      <c r="B37" s="1"/>
      <c r="C37" s="1"/>
      <c r="D37" s="1"/>
      <c r="E37" s="1"/>
      <c r="F37" s="8"/>
      <c r="G37" s="1"/>
      <c r="H37" s="35"/>
      <c r="I37" s="35"/>
    </row>
    <row r="38" spans="1:9" ht="24" customHeight="1">
      <c r="A38" s="1"/>
      <c r="B38" s="1"/>
      <c r="C38" s="1"/>
      <c r="D38" s="1"/>
      <c r="E38" s="1"/>
      <c r="F38" s="8"/>
      <c r="G38" s="1"/>
      <c r="H38" s="35"/>
      <c r="I38" s="35"/>
    </row>
    <row r="39" spans="1:9" ht="24" customHeight="1">
      <c r="A39" s="1"/>
      <c r="B39" s="1"/>
      <c r="C39" s="1"/>
      <c r="D39" s="1"/>
      <c r="E39" s="1"/>
      <c r="F39" s="8"/>
      <c r="G39" s="1"/>
      <c r="H39" s="35"/>
      <c r="I39" s="35"/>
    </row>
    <row r="40" spans="1:9" ht="24" customHeight="1">
      <c r="A40" s="1"/>
      <c r="B40" s="1"/>
      <c r="C40" s="1"/>
      <c r="D40" s="1"/>
      <c r="E40" s="1"/>
      <c r="F40" s="8"/>
      <c r="G40" s="1"/>
      <c r="H40" s="35"/>
      <c r="I40" s="35"/>
    </row>
    <row r="41" spans="1:9" ht="24" customHeight="1">
      <c r="A41" s="1"/>
      <c r="B41" s="1"/>
      <c r="C41" s="1"/>
      <c r="D41" s="1"/>
      <c r="E41" s="1"/>
      <c r="F41" s="8"/>
      <c r="G41" s="1"/>
      <c r="H41" s="35"/>
      <c r="I41" s="35"/>
    </row>
    <row r="42" spans="1:9" ht="24" customHeight="1">
      <c r="A42" s="1"/>
      <c r="B42" s="1"/>
      <c r="C42" s="1"/>
      <c r="D42" s="1"/>
      <c r="E42" s="1"/>
      <c r="F42" s="8"/>
      <c r="G42" s="1"/>
      <c r="H42" s="35"/>
      <c r="I42" s="35"/>
    </row>
    <row r="43" spans="1:9" ht="24" customHeight="1">
      <c r="A43" s="1"/>
      <c r="B43" s="1"/>
      <c r="C43" s="1"/>
      <c r="D43" s="1"/>
      <c r="E43" s="1"/>
      <c r="F43" s="8"/>
      <c r="G43" s="1"/>
      <c r="H43" s="35"/>
      <c r="I43" s="35"/>
    </row>
    <row r="44" spans="1:9" ht="24" customHeight="1">
      <c r="A44" s="1"/>
      <c r="B44" s="1"/>
      <c r="C44" s="1"/>
      <c r="D44" s="1"/>
      <c r="E44" s="1"/>
      <c r="F44" s="8"/>
      <c r="G44" s="1"/>
      <c r="H44" s="35"/>
      <c r="I44" s="35"/>
    </row>
    <row r="45" spans="1:9" ht="24" customHeight="1">
      <c r="A45" s="1"/>
      <c r="B45" s="1"/>
      <c r="C45" s="1"/>
      <c r="D45" s="1"/>
      <c r="E45" s="1"/>
      <c r="F45" s="8"/>
      <c r="G45" s="1"/>
      <c r="H45" s="35"/>
      <c r="I45" s="35"/>
    </row>
    <row r="46" spans="1:9" ht="24" customHeight="1">
      <c r="A46" s="1"/>
      <c r="B46" s="1"/>
      <c r="C46" s="1"/>
      <c r="D46" s="1"/>
      <c r="E46" s="1"/>
      <c r="F46" s="8"/>
      <c r="G46" s="1"/>
      <c r="H46" s="35"/>
      <c r="I46" s="35"/>
    </row>
    <row r="47" spans="1:9" ht="24" customHeight="1">
      <c r="A47" s="1"/>
      <c r="B47" s="1"/>
      <c r="C47" s="1"/>
      <c r="D47" s="1"/>
      <c r="E47" s="1"/>
      <c r="F47" s="8"/>
      <c r="G47" s="1"/>
      <c r="H47" s="35"/>
      <c r="I47" s="35"/>
    </row>
    <row r="48" spans="1:9" ht="24" customHeight="1">
      <c r="A48" s="1"/>
      <c r="B48" s="1"/>
      <c r="C48" s="1"/>
      <c r="D48" s="1"/>
      <c r="E48" s="1"/>
      <c r="F48" s="8"/>
      <c r="G48" s="1"/>
      <c r="H48" s="35"/>
      <c r="I48" s="35"/>
    </row>
    <row r="49" spans="1:9" ht="24" customHeight="1">
      <c r="A49" s="1"/>
      <c r="B49" s="1"/>
      <c r="C49" s="1"/>
      <c r="D49" s="1"/>
      <c r="E49" s="1"/>
      <c r="F49" s="8"/>
      <c r="G49" s="1"/>
      <c r="H49" s="35"/>
      <c r="I49" s="35"/>
    </row>
    <row r="50" spans="1:9" ht="24" customHeight="1">
      <c r="A50" s="1"/>
      <c r="B50" s="1"/>
      <c r="C50" s="1"/>
      <c r="D50" s="1"/>
      <c r="E50" s="1"/>
      <c r="F50" s="8"/>
      <c r="G50" s="1"/>
      <c r="H50" s="35"/>
      <c r="I50" s="35"/>
    </row>
    <row r="51" spans="1:9" ht="24" customHeight="1">
      <c r="A51" s="1"/>
      <c r="B51" s="1"/>
      <c r="C51" s="1"/>
      <c r="D51" s="1"/>
      <c r="E51" s="1"/>
      <c r="F51" s="8"/>
      <c r="G51" s="1"/>
      <c r="H51" s="35"/>
      <c r="I51" s="35"/>
    </row>
    <row r="52" spans="1:9" ht="24" customHeight="1">
      <c r="A52" s="1"/>
      <c r="B52" s="1"/>
      <c r="C52" s="1"/>
      <c r="D52" s="1"/>
      <c r="E52" s="1"/>
      <c r="F52" s="8"/>
      <c r="G52" s="1"/>
      <c r="H52" s="35"/>
      <c r="I52" s="35"/>
    </row>
    <row r="53" spans="1:9" ht="24" customHeight="1">
      <c r="A53" s="1"/>
      <c r="B53" s="1"/>
      <c r="C53" s="1"/>
      <c r="D53" s="1"/>
      <c r="E53" s="1"/>
      <c r="F53" s="8"/>
      <c r="G53" s="1"/>
      <c r="H53" s="35"/>
      <c r="I53" s="35"/>
    </row>
    <row r="54" spans="1:9" ht="24" customHeight="1">
      <c r="A54" s="1"/>
      <c r="B54" s="1"/>
      <c r="C54" s="1"/>
      <c r="D54" s="1"/>
      <c r="E54" s="1"/>
      <c r="F54" s="8"/>
      <c r="G54" s="1"/>
      <c r="H54" s="35"/>
      <c r="I54" s="35"/>
    </row>
    <row r="55" spans="1:9" ht="24" customHeight="1">
      <c r="A55" s="1"/>
      <c r="B55" s="1"/>
      <c r="C55" s="1"/>
      <c r="D55" s="1"/>
      <c r="E55" s="1"/>
      <c r="F55" s="8"/>
      <c r="G55" s="1"/>
      <c r="H55" s="35"/>
      <c r="I55" s="35"/>
    </row>
    <row r="56" spans="1:9">
      <c r="F56" s="9"/>
      <c r="H56" s="36"/>
      <c r="I56" s="36"/>
    </row>
    <row r="57" spans="1:9">
      <c r="F57" s="9"/>
      <c r="H57" s="36"/>
      <c r="I57" s="36"/>
    </row>
    <row r="58" spans="1:9">
      <c r="F58" s="9"/>
      <c r="H58" s="36"/>
      <c r="I58" s="36"/>
    </row>
    <row r="59" spans="1:9">
      <c r="F59" s="9"/>
      <c r="H59" s="36"/>
      <c r="I59" s="36"/>
    </row>
    <row r="60" spans="1:9">
      <c r="F60" s="9"/>
      <c r="H60" s="36"/>
      <c r="I60" s="36"/>
    </row>
    <row r="61" spans="1:9">
      <c r="F61" s="9"/>
      <c r="H61" s="36"/>
      <c r="I61" s="36"/>
    </row>
    <row r="62" spans="1:9">
      <c r="F62" s="9"/>
      <c r="H62" s="36"/>
      <c r="I62" s="36"/>
    </row>
    <row r="63" spans="1:9">
      <c r="F63" s="9"/>
      <c r="H63" s="36"/>
      <c r="I63" s="36"/>
    </row>
    <row r="64" spans="1:9">
      <c r="F64" s="9"/>
      <c r="H64" s="36"/>
      <c r="I64" s="36"/>
    </row>
    <row r="65" spans="6:9">
      <c r="F65" s="9"/>
      <c r="H65" s="36"/>
      <c r="I65" s="36"/>
    </row>
    <row r="66" spans="6:9">
      <c r="F66" s="9"/>
      <c r="H66" s="36"/>
      <c r="I66" s="36"/>
    </row>
    <row r="67" spans="6:9">
      <c r="F67" s="9"/>
      <c r="H67" s="36"/>
      <c r="I67" s="36"/>
    </row>
    <row r="68" spans="6:9">
      <c r="F68" s="9"/>
      <c r="H68" s="36"/>
      <c r="I68" s="36"/>
    </row>
    <row r="69" spans="6:9">
      <c r="F69" s="9"/>
      <c r="H69" s="36"/>
      <c r="I69" s="36"/>
    </row>
    <row r="70" spans="6:9">
      <c r="F70" s="9"/>
      <c r="H70" s="36"/>
      <c r="I70" s="36"/>
    </row>
    <row r="71" spans="6:9">
      <c r="F71" s="9"/>
      <c r="H71" s="36"/>
      <c r="I71" s="36"/>
    </row>
    <row r="72" spans="6:9">
      <c r="F72" s="9"/>
      <c r="H72" s="36"/>
      <c r="I72" s="36"/>
    </row>
    <row r="73" spans="6:9">
      <c r="F73" s="9"/>
      <c r="H73" s="36"/>
      <c r="I73" s="36"/>
    </row>
    <row r="74" spans="6:9">
      <c r="F74" s="9"/>
      <c r="H74" s="36"/>
      <c r="I74" s="36"/>
    </row>
    <row r="75" spans="6:9">
      <c r="F75" s="9"/>
      <c r="H75" s="36"/>
      <c r="I75" s="36"/>
    </row>
    <row r="76" spans="6:9">
      <c r="F76" s="9"/>
      <c r="H76" s="36"/>
      <c r="I76" s="36"/>
    </row>
    <row r="77" spans="6:9">
      <c r="F77" s="9"/>
      <c r="H77" s="36"/>
      <c r="I77" s="36"/>
    </row>
    <row r="78" spans="6:9">
      <c r="F78" s="9"/>
      <c r="H78" s="36"/>
      <c r="I78" s="36"/>
    </row>
    <row r="79" spans="6:9">
      <c r="F79" s="9"/>
      <c r="H79" s="36"/>
      <c r="I79" s="36"/>
    </row>
    <row r="80" spans="6:9">
      <c r="F80" s="9"/>
      <c r="H80" s="36"/>
      <c r="I80" s="36"/>
    </row>
    <row r="81" spans="6:9">
      <c r="F81" s="9"/>
      <c r="H81" s="36"/>
      <c r="I81" s="36"/>
    </row>
    <row r="82" spans="6:9">
      <c r="F82" s="9"/>
      <c r="H82" s="36"/>
      <c r="I82" s="36"/>
    </row>
    <row r="83" spans="6:9">
      <c r="F83" s="9"/>
      <c r="H83" s="36"/>
      <c r="I83" s="36"/>
    </row>
    <row r="84" spans="6:9">
      <c r="F84" s="9"/>
      <c r="H84" s="36"/>
      <c r="I84" s="36"/>
    </row>
    <row r="85" spans="6:9">
      <c r="F85" s="9"/>
      <c r="H85" s="36"/>
      <c r="I85" s="36"/>
    </row>
    <row r="86" spans="6:9">
      <c r="F86" s="9"/>
      <c r="H86" s="36"/>
      <c r="I86" s="36"/>
    </row>
    <row r="87" spans="6:9">
      <c r="F87" s="9"/>
      <c r="H87" s="36"/>
      <c r="I87" s="36"/>
    </row>
    <row r="88" spans="6:9">
      <c r="F88" s="9"/>
      <c r="H88" s="36"/>
      <c r="I88" s="36"/>
    </row>
    <row r="89" spans="6:9">
      <c r="F89" s="9"/>
      <c r="H89" s="36"/>
      <c r="I89" s="36"/>
    </row>
    <row r="90" spans="6:9">
      <c r="F90" s="9"/>
      <c r="H90" s="36"/>
      <c r="I90" s="36"/>
    </row>
    <row r="91" spans="6:9">
      <c r="F91" s="9"/>
      <c r="H91" s="36"/>
      <c r="I91" s="36"/>
    </row>
    <row r="92" spans="6:9">
      <c r="F92" s="9"/>
      <c r="H92" s="36"/>
      <c r="I92" s="36"/>
    </row>
    <row r="93" spans="6:9">
      <c r="F93" s="9"/>
      <c r="H93" s="36"/>
      <c r="I93" s="36"/>
    </row>
    <row r="94" spans="6:9">
      <c r="F94" s="9"/>
      <c r="H94" s="36"/>
      <c r="I94" s="36"/>
    </row>
    <row r="95" spans="6:9">
      <c r="F95" s="9"/>
      <c r="H95" s="36"/>
      <c r="I95" s="36"/>
    </row>
    <row r="96" spans="6:9">
      <c r="F96" s="9"/>
      <c r="H96" s="36"/>
      <c r="I96" s="36"/>
    </row>
    <row r="97" spans="6:9">
      <c r="F97" s="9"/>
      <c r="H97" s="36"/>
      <c r="I97" s="36"/>
    </row>
    <row r="98" spans="6:9">
      <c r="F98" s="9"/>
      <c r="H98" s="36"/>
      <c r="I98" s="36"/>
    </row>
    <row r="99" spans="6:9">
      <c r="F99" s="9"/>
      <c r="H99" s="36"/>
      <c r="I99" s="36"/>
    </row>
    <row r="100" spans="6:9">
      <c r="F100" s="9"/>
      <c r="H100" s="36"/>
      <c r="I100" s="36"/>
    </row>
    <row r="101" spans="6:9">
      <c r="F101" s="9"/>
      <c r="H101" s="36"/>
      <c r="I101" s="36"/>
    </row>
    <row r="102" spans="6:9">
      <c r="F102" s="9"/>
      <c r="H102" s="36"/>
      <c r="I102" s="36"/>
    </row>
    <row r="103" spans="6:9">
      <c r="F103" s="9"/>
      <c r="H103" s="36"/>
      <c r="I103" s="36"/>
    </row>
    <row r="104" spans="6:9">
      <c r="F104" s="9"/>
      <c r="H104" s="36"/>
      <c r="I104" s="36"/>
    </row>
    <row r="105" spans="6:9">
      <c r="F105" s="9"/>
      <c r="H105" s="36"/>
      <c r="I105" s="36"/>
    </row>
    <row r="106" spans="6:9">
      <c r="F106" s="9"/>
      <c r="H106" s="36"/>
      <c r="I106" s="36"/>
    </row>
    <row r="107" spans="6:9">
      <c r="F107" s="9"/>
      <c r="H107" s="36"/>
      <c r="I107" s="36"/>
    </row>
    <row r="108" spans="6:9">
      <c r="F108" s="9"/>
      <c r="H108" s="36"/>
      <c r="I108" s="36"/>
    </row>
    <row r="109" spans="6:9">
      <c r="F109" s="9"/>
      <c r="H109" s="36"/>
      <c r="I109" s="36"/>
    </row>
    <row r="110" spans="6:9">
      <c r="F110" s="9"/>
      <c r="H110" s="36"/>
      <c r="I110" s="36"/>
    </row>
    <row r="111" spans="6:9">
      <c r="F111" s="9"/>
      <c r="H111" s="36"/>
      <c r="I111" s="36"/>
    </row>
    <row r="112" spans="6:9">
      <c r="F112" s="9"/>
      <c r="H112" s="36"/>
      <c r="I112" s="36"/>
    </row>
    <row r="113" spans="6:9">
      <c r="F113" s="9"/>
      <c r="H113" s="36"/>
      <c r="I113" s="36"/>
    </row>
    <row r="114" spans="6:9">
      <c r="F114" s="9"/>
      <c r="H114" s="36"/>
      <c r="I114" s="36"/>
    </row>
    <row r="115" spans="6:9">
      <c r="F115" s="9"/>
      <c r="H115" s="36"/>
      <c r="I115" s="36"/>
    </row>
    <row r="116" spans="6:9">
      <c r="F116" s="9"/>
      <c r="H116" s="36"/>
      <c r="I116" s="36"/>
    </row>
    <row r="117" spans="6:9">
      <c r="F117" s="9"/>
      <c r="H117" s="36"/>
      <c r="I117" s="36"/>
    </row>
    <row r="118" spans="6:9">
      <c r="F118" s="9"/>
      <c r="H118" s="36"/>
      <c r="I118" s="36"/>
    </row>
    <row r="119" spans="6:9">
      <c r="F119" s="9"/>
      <c r="H119" s="36"/>
      <c r="I119" s="36"/>
    </row>
    <row r="120" spans="6:9">
      <c r="F120" s="9"/>
      <c r="H120" s="36"/>
      <c r="I120" s="36"/>
    </row>
    <row r="121" spans="6:9">
      <c r="F121" s="9"/>
      <c r="H121" s="36"/>
      <c r="I121" s="36"/>
    </row>
    <row r="122" spans="6:9">
      <c r="F122" s="9"/>
      <c r="H122" s="36"/>
      <c r="I122" s="36"/>
    </row>
    <row r="123" spans="6:9">
      <c r="F123" s="9"/>
      <c r="H123" s="36"/>
      <c r="I123" s="36"/>
    </row>
    <row r="124" spans="6:9">
      <c r="F124" s="9"/>
      <c r="H124" s="36"/>
      <c r="I124" s="36"/>
    </row>
    <row r="125" spans="6:9">
      <c r="F125" s="9"/>
      <c r="H125" s="36"/>
      <c r="I125" s="36"/>
    </row>
    <row r="126" spans="6:9">
      <c r="F126" s="9"/>
      <c r="H126" s="36"/>
      <c r="I126" s="36"/>
    </row>
    <row r="127" spans="6:9">
      <c r="F127" s="9"/>
      <c r="H127" s="36"/>
      <c r="I127" s="36"/>
    </row>
    <row r="128" spans="6:9">
      <c r="F128" s="9"/>
      <c r="H128" s="36"/>
      <c r="I128" s="36"/>
    </row>
    <row r="129" spans="6:9">
      <c r="F129" s="9"/>
      <c r="H129" s="36"/>
      <c r="I129" s="36"/>
    </row>
    <row r="130" spans="6:9">
      <c r="F130" s="9"/>
      <c r="H130" s="36"/>
      <c r="I130" s="36"/>
    </row>
    <row r="131" spans="6:9">
      <c r="F131" s="9"/>
      <c r="H131" s="36"/>
      <c r="I131" s="36"/>
    </row>
    <row r="132" spans="6:9">
      <c r="F132" s="9"/>
      <c r="H132" s="36"/>
      <c r="I132" s="36"/>
    </row>
    <row r="133" spans="6:9">
      <c r="F133" s="9"/>
      <c r="H133" s="36"/>
      <c r="I133" s="36"/>
    </row>
    <row r="134" spans="6:9">
      <c r="F134" s="9"/>
      <c r="H134" s="36"/>
      <c r="I134" s="36"/>
    </row>
    <row r="135" spans="6:9">
      <c r="F135" s="9"/>
      <c r="H135" s="36"/>
      <c r="I135" s="36"/>
    </row>
    <row r="136" spans="6:9">
      <c r="F136" s="9"/>
      <c r="H136" s="36"/>
      <c r="I136" s="36"/>
    </row>
    <row r="137" spans="6:9">
      <c r="F137" s="9"/>
      <c r="H137" s="36"/>
      <c r="I137" s="36"/>
    </row>
    <row r="138" spans="6:9">
      <c r="F138" s="9"/>
      <c r="H138" s="36"/>
      <c r="I138" s="36"/>
    </row>
    <row r="139" spans="6:9">
      <c r="F139" s="9"/>
      <c r="H139" s="36"/>
      <c r="I139" s="36"/>
    </row>
    <row r="140" spans="6:9">
      <c r="F140" s="9"/>
      <c r="H140" s="36"/>
      <c r="I140" s="36"/>
    </row>
    <row r="141" spans="6:9">
      <c r="F141" s="9"/>
      <c r="H141" s="36"/>
      <c r="I141" s="36"/>
    </row>
    <row r="142" spans="6:9">
      <c r="F142" s="9"/>
      <c r="H142" s="36"/>
      <c r="I142" s="36"/>
    </row>
    <row r="143" spans="6:9">
      <c r="F143" s="9"/>
      <c r="H143" s="36"/>
      <c r="I143" s="36"/>
    </row>
    <row r="144" spans="6:9">
      <c r="F144" s="9"/>
      <c r="H144" s="36"/>
      <c r="I144" s="36"/>
    </row>
    <row r="145" spans="6:9">
      <c r="F145" s="9"/>
      <c r="H145" s="36"/>
      <c r="I145" s="36"/>
    </row>
    <row r="146" spans="6:9">
      <c r="F146" s="9"/>
      <c r="H146" s="36"/>
      <c r="I146" s="36"/>
    </row>
    <row r="147" spans="6:9">
      <c r="F147" s="9"/>
      <c r="H147" s="36"/>
      <c r="I147" s="36"/>
    </row>
    <row r="148" spans="6:9">
      <c r="F148" s="9"/>
      <c r="H148" s="36"/>
      <c r="I148" s="36"/>
    </row>
    <row r="149" spans="6:9">
      <c r="F149" s="9"/>
      <c r="H149" s="36"/>
      <c r="I149" s="36"/>
    </row>
    <row r="150" spans="6:9">
      <c r="F150" s="9"/>
      <c r="H150" s="36"/>
      <c r="I150" s="36"/>
    </row>
    <row r="151" spans="6:9">
      <c r="F151" s="9"/>
      <c r="H151" s="36"/>
      <c r="I151" s="36"/>
    </row>
    <row r="152" spans="6:9">
      <c r="F152" s="9"/>
      <c r="H152" s="36"/>
      <c r="I152" s="36"/>
    </row>
    <row r="153" spans="6:9">
      <c r="F153" s="9"/>
      <c r="H153" s="36"/>
      <c r="I153" s="36"/>
    </row>
    <row r="154" spans="6:9">
      <c r="F154" s="9"/>
      <c r="H154" s="36"/>
      <c r="I154" s="36"/>
    </row>
    <row r="155" spans="6:9">
      <c r="F155" s="9"/>
      <c r="H155" s="36"/>
      <c r="I155" s="36"/>
    </row>
    <row r="156" spans="6:9">
      <c r="F156" s="9"/>
      <c r="H156" s="36"/>
      <c r="I156" s="36"/>
    </row>
    <row r="157" spans="6:9">
      <c r="F157" s="9"/>
      <c r="H157" s="36"/>
      <c r="I157" s="36"/>
    </row>
    <row r="158" spans="6:9">
      <c r="F158" s="9"/>
      <c r="H158" s="36"/>
      <c r="I158" s="36"/>
    </row>
    <row r="159" spans="6:9">
      <c r="F159" s="9"/>
      <c r="H159" s="36"/>
      <c r="I159" s="36"/>
    </row>
    <row r="160" spans="6:9">
      <c r="F160" s="9"/>
      <c r="H160" s="36"/>
      <c r="I160" s="36"/>
    </row>
    <row r="161" spans="6:9">
      <c r="F161" s="9"/>
      <c r="H161" s="36"/>
      <c r="I161" s="36"/>
    </row>
    <row r="162" spans="6:9">
      <c r="F162" s="9"/>
      <c r="H162" s="36"/>
      <c r="I162" s="36"/>
    </row>
    <row r="163" spans="6:9">
      <c r="F163" s="9"/>
      <c r="H163" s="36"/>
      <c r="I163" s="36"/>
    </row>
    <row r="164" spans="6:9">
      <c r="F164" s="9"/>
      <c r="H164" s="36"/>
      <c r="I164" s="36"/>
    </row>
    <row r="165" spans="6:9">
      <c r="F165" s="9"/>
      <c r="H165" s="36"/>
      <c r="I165" s="36"/>
    </row>
    <row r="166" spans="6:9">
      <c r="F166" s="9"/>
      <c r="H166" s="36"/>
      <c r="I166" s="36"/>
    </row>
    <row r="167" spans="6:9">
      <c r="F167" s="9"/>
      <c r="H167" s="36"/>
      <c r="I167" s="36"/>
    </row>
    <row r="168" spans="6:9">
      <c r="F168" s="9"/>
      <c r="H168" s="36"/>
      <c r="I168" s="36"/>
    </row>
    <row r="169" spans="6:9">
      <c r="F169" s="9"/>
      <c r="H169" s="36"/>
      <c r="I169" s="36"/>
    </row>
    <row r="170" spans="6:9">
      <c r="F170" s="9"/>
      <c r="H170" s="36"/>
      <c r="I170" s="36"/>
    </row>
    <row r="171" spans="6:9">
      <c r="F171" s="9"/>
      <c r="H171" s="36"/>
      <c r="I171" s="36"/>
    </row>
    <row r="172" spans="6:9">
      <c r="F172" s="9"/>
      <c r="H172" s="36"/>
      <c r="I172" s="36"/>
    </row>
    <row r="173" spans="6:9">
      <c r="F173" s="9"/>
      <c r="H173" s="36"/>
      <c r="I173" s="36"/>
    </row>
    <row r="174" spans="6:9">
      <c r="F174" s="9"/>
      <c r="H174" s="36"/>
      <c r="I174" s="36"/>
    </row>
    <row r="175" spans="6:9">
      <c r="F175" s="9"/>
      <c r="H175" s="36"/>
      <c r="I175" s="36"/>
    </row>
    <row r="176" spans="6:9">
      <c r="F176" s="9"/>
      <c r="H176" s="36"/>
      <c r="I176" s="36"/>
    </row>
    <row r="177" spans="6:9">
      <c r="F177" s="9"/>
      <c r="H177" s="36"/>
      <c r="I177" s="36"/>
    </row>
    <row r="178" spans="6:9">
      <c r="F178" s="9"/>
      <c r="H178" s="36"/>
      <c r="I178" s="36"/>
    </row>
    <row r="179" spans="6:9">
      <c r="F179" s="9"/>
      <c r="H179" s="36"/>
      <c r="I179" s="36"/>
    </row>
    <row r="180" spans="6:9">
      <c r="F180" s="9"/>
      <c r="H180" s="36"/>
      <c r="I180" s="36"/>
    </row>
    <row r="181" spans="6:9">
      <c r="F181" s="9"/>
      <c r="H181" s="36"/>
      <c r="I181" s="36"/>
    </row>
    <row r="182" spans="6:9">
      <c r="F182" s="9"/>
      <c r="H182" s="36"/>
      <c r="I182" s="36"/>
    </row>
    <row r="183" spans="6:9">
      <c r="F183" s="9"/>
      <c r="H183" s="36"/>
      <c r="I183" s="36"/>
    </row>
    <row r="184" spans="6:9">
      <c r="F184" s="9"/>
      <c r="H184" s="36"/>
      <c r="I184" s="36"/>
    </row>
    <row r="185" spans="6:9">
      <c r="F185" s="9"/>
      <c r="H185" s="36"/>
      <c r="I185" s="36"/>
    </row>
    <row r="186" spans="6:9">
      <c r="F186" s="9"/>
      <c r="H186" s="36"/>
      <c r="I186" s="36"/>
    </row>
    <row r="187" spans="6:9">
      <c r="F187" s="9"/>
      <c r="H187" s="36"/>
      <c r="I187" s="36"/>
    </row>
    <row r="188" spans="6:9">
      <c r="F188" s="9"/>
      <c r="H188" s="36"/>
      <c r="I188" s="36"/>
    </row>
    <row r="189" spans="6:9">
      <c r="F189" s="9"/>
      <c r="H189" s="36"/>
      <c r="I189" s="36"/>
    </row>
    <row r="190" spans="6:9">
      <c r="F190" s="9"/>
      <c r="H190" s="36"/>
      <c r="I190" s="36"/>
    </row>
    <row r="191" spans="6:9">
      <c r="F191" s="9"/>
      <c r="H191" s="36"/>
      <c r="I191" s="36"/>
    </row>
    <row r="192" spans="6:9">
      <c r="F192" s="9"/>
      <c r="H192" s="36"/>
      <c r="I192" s="36"/>
    </row>
    <row r="193" spans="6:9">
      <c r="F193" s="9"/>
      <c r="H193" s="36"/>
      <c r="I193" s="36"/>
    </row>
    <row r="194" spans="6:9">
      <c r="F194" s="9"/>
      <c r="H194" s="36"/>
      <c r="I194" s="36"/>
    </row>
    <row r="195" spans="6:9">
      <c r="F195" s="9"/>
      <c r="H195" s="36"/>
      <c r="I195" s="36"/>
    </row>
    <row r="196" spans="6:9">
      <c r="F196" s="9"/>
      <c r="H196" s="36"/>
      <c r="I196" s="36"/>
    </row>
    <row r="197" spans="6:9">
      <c r="F197" s="9"/>
      <c r="H197" s="36"/>
      <c r="I197" s="36"/>
    </row>
    <row r="198" spans="6:9">
      <c r="F198" s="9"/>
      <c r="H198" s="36"/>
      <c r="I198" s="36"/>
    </row>
    <row r="199" spans="6:9">
      <c r="F199" s="9"/>
      <c r="H199" s="36"/>
      <c r="I199" s="36"/>
    </row>
    <row r="200" spans="6:9">
      <c r="F200" s="9"/>
      <c r="H200" s="36"/>
      <c r="I200" s="36"/>
    </row>
    <row r="201" spans="6:9">
      <c r="F201" s="9"/>
      <c r="H201" s="36"/>
      <c r="I201" s="36"/>
    </row>
    <row r="202" spans="6:9">
      <c r="F202" s="9"/>
      <c r="H202" s="36"/>
      <c r="I202" s="36"/>
    </row>
    <row r="203" spans="6:9">
      <c r="F203" s="9"/>
      <c r="H203" s="36"/>
      <c r="I203" s="36"/>
    </row>
    <row r="204" spans="6:9">
      <c r="F204" s="9"/>
      <c r="H204" s="36"/>
      <c r="I204" s="36"/>
    </row>
  </sheetData>
  <mergeCells count="3">
    <mergeCell ref="B2:I2"/>
    <mergeCell ref="B4:I4"/>
    <mergeCell ref="B5:I5"/>
  </mergeCells>
  <conditionalFormatting sqref="F9:F204">
    <cfRule type="cellIs" dxfId="109" priority="1" operator="equal">
      <formula>"ĐANG LÀM"</formula>
    </cfRule>
    <cfRule type="cellIs" dxfId="108" priority="2" operator="equal">
      <formula>"XONG"</formula>
    </cfRule>
    <cfRule type="cellIs" dxfId="107" priority="3" operator="equal">
      <formula>"PASS"</formula>
    </cfRule>
    <cfRule type="cellIs" dxfId="106" priority="4" operator="equal">
      <formula>"ĐÃ GIẢI QUYẾT"</formula>
    </cfRule>
    <cfRule type="cellIs" dxfId="105" priority="5" operator="equal">
      <formula>"BỊ CHẶN"</formula>
    </cfRule>
    <cfRule type="cellIs" dxfId="104" priority="6" operator="equal">
      <formula>"FAIL"</formula>
    </cfRule>
    <cfRule type="cellIs" dxfId="103" priority="7" operator="equal">
      <formula>"CHỜ"</formula>
    </cfRule>
    <cfRule type="cellIs" dxfId="102" priority="8" operator="equal">
      <formula>"CHỜ CHẠY"</formula>
    </cfRule>
    <cfRule type="cellIs" dxfId="101" priority="9" operator="equal">
      <formula>"MỞ"</formula>
    </cfRule>
    <cfRule type="cellIs" dxfId="100" priority="10" operator="equal">
      <formula>"TẠM HOÃN"</formula>
    </cfRule>
    <cfRule type="cellIs" dxfId="99" priority="11" operator="equal">
      <formula>"CHƯA LÀM"</formula>
    </cfRule>
    <cfRule type="cellIs" dxfId="98" priority="12" operator="equal">
      <formula>"PASS LỊCH SỬ"</formula>
    </cfRule>
    <cfRule type="cellIs" dxfId="97" priority="13" operator="equal">
      <formula>"TÌM THẤY / CHỜ CHẠY LẠI"</formula>
    </cfRule>
  </conditionalFormatting>
  <dataValidations count="2">
    <dataValidation type="list" sqref="E9:E204" xr:uid="{00000000-0002-0000-0200-000000000000}">
      <formula1>"P0,P1,P2,P3"</formula1>
    </dataValidation>
    <dataValidation type="list" sqref="F9:F204" xr:uid="{00000000-0002-0000-0200-000001000000}">
      <formula1>"CHƯA LÀM,CHỜ,ĐANG LÀM,BỊ CHẶN,XONG,TẠM HOÃN"</formula1>
    </dataValidation>
  </dataValidations>
  <hyperlinks>
    <hyperlink ref="I1" location="'01_Muc_luc'!A1" display="← Mục lục" xr:uid="{65D4812C-85B9-4813-B5EF-637F43B1BF5C}"/>
  </hyperlinks>
  <pageMargins left="0.30555555555555558" right="0.30555555555555558" top="0.30555555555555558" bottom="0.30555555555555558" header="0.3" footer="0.3"/>
  <pageSetup paperSize="8"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EBDB2"/>
    <pageSetUpPr fitToPage="1"/>
  </sheetPr>
  <dimension ref="A1:F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12.19921875" customWidth="1"/>
    <col min="3" max="3" width="16.19921875" customWidth="1"/>
    <col min="4" max="4" width="20.59765625" customWidth="1"/>
    <col min="5" max="5" width="45" customWidth="1"/>
    <col min="6" max="6" width="43.69921875" customWidth="1"/>
  </cols>
  <sheetData>
    <row r="1" spans="1:6" ht="24" customHeight="1">
      <c r="A1" s="1"/>
      <c r="B1" s="1"/>
      <c r="C1" s="1"/>
      <c r="D1" s="1"/>
      <c r="E1" s="1"/>
      <c r="F1" s="10" t="s">
        <v>572</v>
      </c>
    </row>
    <row r="2" spans="1:6" ht="24" customHeight="1">
      <c r="A2" s="1"/>
      <c r="B2" s="16" t="s">
        <v>66</v>
      </c>
      <c r="C2" s="16"/>
      <c r="D2" s="16"/>
      <c r="E2" s="16"/>
      <c r="F2" s="16"/>
    </row>
    <row r="3" spans="1:6" ht="24" customHeight="1">
      <c r="A3" s="1"/>
      <c r="B3" s="1"/>
      <c r="C3" s="1"/>
      <c r="D3" s="1"/>
      <c r="E3" s="1"/>
      <c r="F3" s="1"/>
    </row>
    <row r="4" spans="1:6" ht="39" customHeight="1">
      <c r="A4" s="1"/>
      <c r="B4" s="17" t="s">
        <v>28</v>
      </c>
      <c r="C4" s="17"/>
      <c r="D4" s="17"/>
      <c r="E4" s="17"/>
      <c r="F4" s="17"/>
    </row>
    <row r="5" spans="1:6" ht="30" customHeight="1">
      <c r="A5" s="1"/>
      <c r="B5" s="11" t="s">
        <v>108</v>
      </c>
      <c r="C5" s="11"/>
      <c r="D5" s="11"/>
      <c r="E5" s="11"/>
      <c r="F5" s="11"/>
    </row>
    <row r="6" spans="1:6" ht="10.050000000000001" customHeight="1">
      <c r="A6" s="1"/>
      <c r="B6" s="2"/>
      <c r="C6" s="2"/>
      <c r="D6" s="2"/>
      <c r="E6" s="2"/>
      <c r="F6" s="2"/>
    </row>
    <row r="7" spans="1:6" ht="12" customHeight="1">
      <c r="A7" s="1"/>
      <c r="B7" s="1"/>
      <c r="C7" s="1"/>
      <c r="D7" s="1"/>
      <c r="E7" s="1"/>
      <c r="F7" s="1"/>
    </row>
    <row r="8" spans="1:6" ht="31.05" customHeight="1">
      <c r="A8" s="1"/>
      <c r="B8" s="3" t="s">
        <v>68</v>
      </c>
      <c r="C8" s="3" t="s">
        <v>109</v>
      </c>
      <c r="D8" s="3" t="s">
        <v>110</v>
      </c>
      <c r="E8" s="3" t="s">
        <v>111</v>
      </c>
      <c r="F8" s="3" t="s">
        <v>112</v>
      </c>
    </row>
    <row r="9" spans="1:6" ht="43.05" customHeight="1">
      <c r="A9" s="1"/>
      <c r="B9" s="2" t="s">
        <v>75</v>
      </c>
      <c r="C9" s="2" t="s">
        <v>113</v>
      </c>
      <c r="D9" s="2"/>
      <c r="E9" s="2" t="s">
        <v>114</v>
      </c>
      <c r="F9" s="2" t="s">
        <v>115</v>
      </c>
    </row>
    <row r="10" spans="1:6" ht="43.05" customHeight="1">
      <c r="A10" s="1"/>
      <c r="B10" s="2" t="s">
        <v>80</v>
      </c>
      <c r="C10" s="2" t="s">
        <v>113</v>
      </c>
      <c r="D10" s="2" t="s">
        <v>75</v>
      </c>
      <c r="E10" s="2" t="s">
        <v>116</v>
      </c>
      <c r="F10" s="2"/>
    </row>
    <row r="11" spans="1:6" ht="43.05" customHeight="1">
      <c r="A11" s="1"/>
      <c r="B11" s="2" t="s">
        <v>83</v>
      </c>
      <c r="C11" s="2" t="s">
        <v>113</v>
      </c>
      <c r="D11" s="2" t="s">
        <v>75</v>
      </c>
      <c r="E11" s="2" t="s">
        <v>117</v>
      </c>
      <c r="F11" s="2"/>
    </row>
    <row r="12" spans="1:6" ht="43.05" customHeight="1">
      <c r="A12" s="1"/>
      <c r="B12" s="2" t="s">
        <v>85</v>
      </c>
      <c r="C12" s="2" t="s">
        <v>118</v>
      </c>
      <c r="D12" s="2"/>
      <c r="E12" s="2" t="s">
        <v>119</v>
      </c>
      <c r="F12" s="2" t="s">
        <v>120</v>
      </c>
    </row>
    <row r="13" spans="1:6" ht="43.05" customHeight="1">
      <c r="A13" s="1"/>
      <c r="B13" s="2" t="s">
        <v>87</v>
      </c>
      <c r="C13" s="2" t="s">
        <v>121</v>
      </c>
      <c r="D13" s="2"/>
      <c r="E13" s="2" t="s">
        <v>122</v>
      </c>
      <c r="F13" s="2" t="s">
        <v>123</v>
      </c>
    </row>
    <row r="14" spans="1:6" ht="43.05" customHeight="1">
      <c r="A14" s="1"/>
      <c r="B14" s="2" t="s">
        <v>90</v>
      </c>
      <c r="C14" s="2" t="s">
        <v>121</v>
      </c>
      <c r="D14" s="2" t="s">
        <v>87</v>
      </c>
      <c r="E14" s="2" t="s">
        <v>124</v>
      </c>
      <c r="F14" s="2"/>
    </row>
    <row r="15" spans="1:6" ht="43.05" customHeight="1">
      <c r="A15" s="1"/>
      <c r="B15" s="2" t="s">
        <v>92</v>
      </c>
      <c r="C15" s="2" t="s">
        <v>125</v>
      </c>
      <c r="D15" s="2" t="s">
        <v>90</v>
      </c>
      <c r="E15" s="2" t="s">
        <v>126</v>
      </c>
      <c r="F15" s="2"/>
    </row>
    <row r="16" spans="1:6" ht="43.05" customHeight="1">
      <c r="A16" s="1"/>
      <c r="B16" s="2" t="s">
        <v>94</v>
      </c>
      <c r="C16" s="2" t="s">
        <v>127</v>
      </c>
      <c r="D16" s="2"/>
      <c r="E16" s="2" t="s">
        <v>128</v>
      </c>
      <c r="F16" s="2"/>
    </row>
    <row r="17" spans="1:6" ht="43.05" customHeight="1">
      <c r="A17" s="1"/>
      <c r="B17" s="2" t="s">
        <v>96</v>
      </c>
      <c r="C17" s="2" t="s">
        <v>129</v>
      </c>
      <c r="D17" s="2" t="s">
        <v>94</v>
      </c>
      <c r="E17" s="2" t="s">
        <v>130</v>
      </c>
      <c r="F17" s="2"/>
    </row>
    <row r="18" spans="1:6" ht="43.05" customHeight="1">
      <c r="A18" s="1"/>
      <c r="B18" s="2" t="s">
        <v>98</v>
      </c>
      <c r="C18" s="2" t="s">
        <v>131</v>
      </c>
      <c r="D18" s="2" t="s">
        <v>94</v>
      </c>
      <c r="E18" s="2" t="s">
        <v>132</v>
      </c>
      <c r="F18" s="2"/>
    </row>
    <row r="19" spans="1:6" ht="43.05" customHeight="1">
      <c r="A19" s="1"/>
      <c r="B19" s="2" t="s">
        <v>100</v>
      </c>
      <c r="C19" s="2" t="s">
        <v>133</v>
      </c>
      <c r="D19" s="2"/>
      <c r="E19" s="2" t="s">
        <v>134</v>
      </c>
      <c r="F19" s="2"/>
    </row>
    <row r="20" spans="1:6" ht="43.05" customHeight="1">
      <c r="A20" s="1"/>
      <c r="B20" s="2" t="s">
        <v>102</v>
      </c>
      <c r="C20" s="2" t="s">
        <v>135</v>
      </c>
      <c r="D20" s="2" t="s">
        <v>136</v>
      </c>
      <c r="E20" s="2" t="s">
        <v>137</v>
      </c>
      <c r="F20" s="2"/>
    </row>
    <row r="21" spans="1:6" ht="43.05" customHeight="1">
      <c r="A21" s="1"/>
      <c r="B21" s="2" t="s">
        <v>104</v>
      </c>
      <c r="C21" s="2" t="s">
        <v>138</v>
      </c>
      <c r="D21" s="2" t="s">
        <v>139</v>
      </c>
      <c r="E21" s="2" t="s">
        <v>140</v>
      </c>
      <c r="F21" s="2"/>
    </row>
    <row r="22" spans="1:6" ht="24" customHeight="1">
      <c r="A22" s="1"/>
      <c r="B22" s="1"/>
      <c r="C22" s="1"/>
      <c r="D22" s="1"/>
      <c r="E22" s="1"/>
      <c r="F22" s="1"/>
    </row>
    <row r="23" spans="1:6" ht="24" customHeight="1">
      <c r="A23" s="1"/>
      <c r="B23" s="1"/>
      <c r="C23" s="1"/>
      <c r="D23" s="1"/>
      <c r="E23" s="1"/>
      <c r="F23" s="1"/>
    </row>
    <row r="24" spans="1:6" ht="24" customHeight="1">
      <c r="A24" s="1"/>
      <c r="B24" s="1"/>
      <c r="C24" s="1"/>
      <c r="D24" s="1"/>
      <c r="E24" s="1"/>
      <c r="F24" s="1"/>
    </row>
    <row r="25" spans="1:6" ht="24" customHeight="1">
      <c r="A25" s="1"/>
      <c r="B25" s="1"/>
      <c r="C25" s="1"/>
      <c r="D25" s="1"/>
      <c r="E25" s="1"/>
      <c r="F25" s="1"/>
    </row>
    <row r="26" spans="1:6" ht="24" customHeight="1">
      <c r="A26" s="1"/>
      <c r="B26" s="1"/>
      <c r="C26" s="1"/>
      <c r="D26" s="1"/>
      <c r="E26" s="1"/>
      <c r="F26" s="1"/>
    </row>
    <row r="27" spans="1:6" ht="24" customHeight="1">
      <c r="A27" s="1"/>
      <c r="B27" s="1"/>
      <c r="C27" s="1"/>
      <c r="D27" s="1"/>
      <c r="E27" s="1"/>
      <c r="F27" s="1"/>
    </row>
    <row r="28" spans="1:6" ht="24" customHeight="1">
      <c r="A28" s="1"/>
      <c r="B28" s="1"/>
      <c r="C28" s="1"/>
      <c r="D28" s="1"/>
      <c r="E28" s="1"/>
      <c r="F28" s="1"/>
    </row>
    <row r="29" spans="1:6" ht="24" customHeight="1">
      <c r="A29" s="1"/>
      <c r="B29" s="1"/>
      <c r="C29" s="1"/>
      <c r="D29" s="1"/>
      <c r="E29" s="1"/>
      <c r="F29" s="1"/>
    </row>
    <row r="30" spans="1:6" ht="24" customHeight="1">
      <c r="A30" s="1"/>
      <c r="B30" s="1"/>
      <c r="C30" s="1"/>
      <c r="D30" s="1"/>
      <c r="E30" s="1"/>
      <c r="F30" s="1"/>
    </row>
    <row r="31" spans="1:6" ht="24" customHeight="1">
      <c r="A31" s="1"/>
      <c r="B31" s="1"/>
      <c r="C31" s="1"/>
      <c r="D31" s="1"/>
      <c r="E31" s="1"/>
      <c r="F31" s="1"/>
    </row>
    <row r="32" spans="1:6" ht="24" customHeight="1">
      <c r="A32" s="1"/>
      <c r="B32" s="1"/>
      <c r="C32" s="1"/>
      <c r="D32" s="1"/>
      <c r="E32" s="1"/>
      <c r="F32" s="1"/>
    </row>
    <row r="33" spans="1:6" ht="24" customHeight="1">
      <c r="A33" s="1"/>
      <c r="B33" s="1"/>
      <c r="C33" s="1"/>
      <c r="D33" s="1"/>
      <c r="E33" s="1"/>
      <c r="F33" s="1"/>
    </row>
    <row r="34" spans="1:6" ht="24" customHeight="1">
      <c r="A34" s="1"/>
      <c r="B34" s="1"/>
      <c r="C34" s="1"/>
      <c r="D34" s="1"/>
      <c r="E34" s="1"/>
      <c r="F34" s="1"/>
    </row>
    <row r="35" spans="1:6" ht="24" customHeight="1">
      <c r="A35" s="1"/>
      <c r="B35" s="1"/>
      <c r="C35" s="1"/>
      <c r="D35" s="1"/>
      <c r="E35" s="1"/>
      <c r="F35" s="1"/>
    </row>
    <row r="36" spans="1:6" ht="24" customHeight="1">
      <c r="A36" s="1"/>
      <c r="B36" s="1"/>
      <c r="C36" s="1"/>
      <c r="D36" s="1"/>
      <c r="E36" s="1"/>
      <c r="F36" s="1"/>
    </row>
    <row r="37" spans="1:6" ht="24" customHeight="1">
      <c r="A37" s="1"/>
      <c r="B37" s="1"/>
      <c r="C37" s="1"/>
      <c r="D37" s="1"/>
      <c r="E37" s="1"/>
      <c r="F37" s="1"/>
    </row>
    <row r="38" spans="1:6" ht="24" customHeight="1">
      <c r="A38" s="1"/>
      <c r="B38" s="1"/>
      <c r="C38" s="1"/>
      <c r="D38" s="1"/>
      <c r="E38" s="1"/>
      <c r="F38" s="1"/>
    </row>
    <row r="39" spans="1:6" ht="24" customHeight="1">
      <c r="A39" s="1"/>
      <c r="B39" s="1"/>
      <c r="C39" s="1"/>
      <c r="D39" s="1"/>
      <c r="E39" s="1"/>
      <c r="F39" s="1"/>
    </row>
    <row r="40" spans="1:6" ht="24" customHeight="1">
      <c r="A40" s="1"/>
      <c r="B40" s="1"/>
      <c r="C40" s="1"/>
      <c r="D40" s="1"/>
      <c r="E40" s="1"/>
      <c r="F40" s="1"/>
    </row>
    <row r="41" spans="1:6" ht="24" customHeight="1">
      <c r="A41" s="1"/>
      <c r="B41" s="1"/>
      <c r="C41" s="1"/>
      <c r="D41" s="1"/>
      <c r="E41" s="1"/>
      <c r="F41" s="1"/>
    </row>
    <row r="42" spans="1:6" ht="24" customHeight="1">
      <c r="A42" s="1"/>
      <c r="B42" s="1"/>
      <c r="C42" s="1"/>
      <c r="D42" s="1"/>
      <c r="E42" s="1"/>
      <c r="F42" s="1"/>
    </row>
    <row r="43" spans="1:6" ht="24" customHeight="1">
      <c r="A43" s="1"/>
      <c r="B43" s="1"/>
      <c r="C43" s="1"/>
      <c r="D43" s="1"/>
      <c r="E43" s="1"/>
      <c r="F43" s="1"/>
    </row>
    <row r="44" spans="1:6" ht="24" customHeight="1">
      <c r="A44" s="1"/>
      <c r="B44" s="1"/>
      <c r="C44" s="1"/>
      <c r="D44" s="1"/>
      <c r="E44" s="1"/>
      <c r="F44" s="1"/>
    </row>
    <row r="45" spans="1:6" ht="24" customHeight="1">
      <c r="A45" s="1"/>
      <c r="B45" s="1"/>
      <c r="C45" s="1"/>
      <c r="D45" s="1"/>
      <c r="E45" s="1"/>
      <c r="F45" s="1"/>
    </row>
    <row r="46" spans="1:6" ht="24" customHeight="1">
      <c r="A46" s="1"/>
      <c r="B46" s="1"/>
      <c r="C46" s="1"/>
      <c r="D46" s="1"/>
      <c r="E46" s="1"/>
      <c r="F46" s="1"/>
    </row>
    <row r="47" spans="1:6" ht="24" customHeight="1">
      <c r="A47" s="1"/>
      <c r="B47" s="1"/>
      <c r="C47" s="1"/>
      <c r="D47" s="1"/>
      <c r="E47" s="1"/>
      <c r="F47" s="1"/>
    </row>
    <row r="48" spans="1:6" ht="24" customHeight="1">
      <c r="A48" s="1"/>
      <c r="B48" s="1"/>
      <c r="C48" s="1"/>
      <c r="D48" s="1"/>
      <c r="E48" s="1"/>
      <c r="F48" s="1"/>
    </row>
    <row r="49" spans="1:6" ht="24" customHeight="1">
      <c r="A49" s="1"/>
      <c r="B49" s="1"/>
      <c r="C49" s="1"/>
      <c r="D49" s="1"/>
      <c r="E49" s="1"/>
      <c r="F49" s="1"/>
    </row>
    <row r="50" spans="1:6" ht="24" customHeight="1">
      <c r="A50" s="1"/>
      <c r="B50" s="1"/>
      <c r="C50" s="1"/>
      <c r="D50" s="1"/>
      <c r="E50" s="1"/>
      <c r="F50" s="1"/>
    </row>
    <row r="51" spans="1:6" ht="24" customHeight="1">
      <c r="A51" s="1"/>
      <c r="B51" s="1"/>
      <c r="C51" s="1"/>
      <c r="D51" s="1"/>
      <c r="E51" s="1"/>
      <c r="F51" s="1"/>
    </row>
    <row r="52" spans="1:6" ht="24" customHeight="1">
      <c r="A52" s="1"/>
      <c r="B52" s="1"/>
      <c r="C52" s="1"/>
      <c r="D52" s="1"/>
      <c r="E52" s="1"/>
      <c r="F52" s="1"/>
    </row>
    <row r="53" spans="1:6" ht="24" customHeight="1">
      <c r="A53" s="1"/>
      <c r="B53" s="1"/>
      <c r="C53" s="1"/>
      <c r="D53" s="1"/>
      <c r="E53" s="1"/>
      <c r="F53" s="1"/>
    </row>
    <row r="54" spans="1:6" ht="24" customHeight="1">
      <c r="A54" s="1"/>
      <c r="B54" s="1"/>
      <c r="C54" s="1"/>
      <c r="D54" s="1"/>
      <c r="E54" s="1"/>
      <c r="F54" s="1"/>
    </row>
    <row r="55" spans="1:6" ht="24" customHeight="1">
      <c r="A55" s="1"/>
      <c r="B55" s="1"/>
      <c r="C55" s="1"/>
      <c r="D55" s="1"/>
      <c r="E55" s="1"/>
      <c r="F55" s="1"/>
    </row>
  </sheetData>
  <mergeCells count="3">
    <mergeCell ref="B2:F2"/>
    <mergeCell ref="B4:F4"/>
    <mergeCell ref="B5:F5"/>
  </mergeCells>
  <hyperlinks>
    <hyperlink ref="F1" location="'01_Muc_luc'!A1" display="← Mục lục" xr:uid="{5C69D702-EAF7-41DF-87A3-303B10A09427}"/>
  </hyperlinks>
  <pageMargins left="0.30555555555555558" right="0.30555555555555558" top="0.30555555555555558" bottom="0.30555555555555558" header="0.3" footer="0.3"/>
  <pageSetup paperSize="8" scale="93"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EBDB2"/>
    <pageSetUpPr fitToPage="1"/>
  </sheetPr>
  <dimension ref="A1:E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12.19921875" customWidth="1"/>
    <col min="3" max="3" width="48.69921875" customWidth="1"/>
    <col min="4" max="4" width="20" customWidth="1"/>
    <col min="5" max="5" width="53.09765625" customWidth="1"/>
  </cols>
  <sheetData>
    <row r="1" spans="1:5" ht="24" customHeight="1">
      <c r="A1" s="1"/>
      <c r="B1" s="1"/>
      <c r="C1" s="1"/>
      <c r="D1" s="1"/>
      <c r="E1" s="10" t="s">
        <v>572</v>
      </c>
    </row>
    <row r="2" spans="1:5" ht="24" customHeight="1">
      <c r="A2" s="1"/>
      <c r="B2" s="16" t="s">
        <v>66</v>
      </c>
      <c r="C2" s="16"/>
      <c r="D2" s="16"/>
      <c r="E2" s="16"/>
    </row>
    <row r="3" spans="1:5" ht="24" customHeight="1">
      <c r="A3" s="1"/>
      <c r="B3" s="1"/>
      <c r="C3" s="1"/>
      <c r="D3" s="1"/>
      <c r="E3" s="1"/>
    </row>
    <row r="4" spans="1:5" ht="39" customHeight="1">
      <c r="A4" s="1"/>
      <c r="B4" s="17" t="s">
        <v>32</v>
      </c>
      <c r="C4" s="17"/>
      <c r="D4" s="17"/>
      <c r="E4" s="17"/>
    </row>
    <row r="5" spans="1:5" ht="30" customHeight="1">
      <c r="A5" s="1"/>
      <c r="B5" s="11" t="s">
        <v>141</v>
      </c>
      <c r="C5" s="11"/>
      <c r="D5" s="11"/>
      <c r="E5" s="11"/>
    </row>
    <row r="6" spans="1:5" ht="10.050000000000001" customHeight="1">
      <c r="A6" s="1"/>
      <c r="B6" s="2"/>
      <c r="C6" s="2"/>
      <c r="D6" s="2"/>
      <c r="E6" s="2"/>
    </row>
    <row r="7" spans="1:5" ht="12" customHeight="1">
      <c r="A7" s="1"/>
      <c r="B7" s="1"/>
      <c r="C7" s="1"/>
      <c r="D7" s="1"/>
      <c r="E7" s="1"/>
    </row>
    <row r="8" spans="1:5" ht="31.05" customHeight="1">
      <c r="A8" s="1"/>
      <c r="B8" s="3" t="s">
        <v>68</v>
      </c>
      <c r="C8" s="3" t="s">
        <v>24</v>
      </c>
      <c r="D8" s="3" t="s">
        <v>142</v>
      </c>
      <c r="E8" s="3" t="s">
        <v>63</v>
      </c>
    </row>
    <row r="9" spans="1:5" ht="34.950000000000003" customHeight="1">
      <c r="A9" s="1"/>
      <c r="B9" s="2" t="s">
        <v>75</v>
      </c>
      <c r="C9" s="2" t="str">
        <f>VLOOKUP(B9,'02_Cong_viec'!$B$9:$D$204,3,FALSE)</f>
        <v>Import V3.2 original vào canonical repo</v>
      </c>
      <c r="D9" s="2"/>
      <c r="E9" s="2"/>
    </row>
    <row r="10" spans="1:5" ht="34.950000000000003" customHeight="1">
      <c r="A10" s="1"/>
      <c r="B10" s="2" t="s">
        <v>80</v>
      </c>
      <c r="C10" s="2" t="str">
        <f>VLOOKUP(B10,'02_Cong_viec'!$B$9:$D$204,3,FALSE)</f>
        <v>Rerun 115 contract checks</v>
      </c>
      <c r="D10" s="2"/>
      <c r="E10" s="2"/>
    </row>
    <row r="11" spans="1:5" ht="34.950000000000003" customHeight="1">
      <c r="A11" s="1"/>
      <c r="B11" s="2" t="s">
        <v>83</v>
      </c>
      <c r="C11" s="2" t="str">
        <f>VLOOKUP(B11,'02_Cong_viec'!$B$9:$D$204,3,FALSE)</f>
        <v>Rerun 22 SQL checks</v>
      </c>
      <c r="D11" s="2"/>
      <c r="E11" s="2"/>
    </row>
    <row r="12" spans="1:5" ht="34.950000000000003" customHeight="1">
      <c r="A12" s="1"/>
      <c r="B12" s="2" t="s">
        <v>85</v>
      </c>
      <c r="C12" s="2" t="str">
        <f>VLOOKUP(B12,'02_Cong_viec'!$B$9:$D$204,3,FALSE)</f>
        <v>Python 3.12 full backend verification</v>
      </c>
      <c r="D12" s="2"/>
      <c r="E12" s="2"/>
    </row>
    <row r="13" spans="1:5" ht="34.950000000000003" customHeight="1">
      <c r="A13" s="1"/>
      <c r="B13" s="2" t="s">
        <v>87</v>
      </c>
      <c r="C13" s="2" t="str">
        <f>VLOOKUP(B13,'02_Cong_viec'!$B$9:$D$204,3,FALSE)</f>
        <v>Provision/access mingo + mingo_test</v>
      </c>
      <c r="D13" s="2"/>
      <c r="E13" s="2"/>
    </row>
    <row r="14" spans="1:5" ht="34.950000000000003" customHeight="1">
      <c r="A14" s="1"/>
      <c r="B14" s="2" t="s">
        <v>90</v>
      </c>
      <c r="C14" s="2" t="str">
        <f>VLOOKUP(B14,'02_Cong_viec'!$B$9:$D$204,3,FALSE)</f>
        <v>Migration + six DB tests</v>
      </c>
      <c r="D14" s="2"/>
      <c r="E14" s="2"/>
    </row>
    <row r="15" spans="1:5" ht="34.950000000000003" customHeight="1">
      <c r="A15" s="1"/>
      <c r="B15" s="2" t="s">
        <v>92</v>
      </c>
      <c r="C15" s="2" t="str">
        <f>VLOOKUP(B15,'02_Cong_viec'!$B$9:$D$204,3,FALSE)</f>
        <v>ready=200 + worker probe</v>
      </c>
      <c r="D15" s="2"/>
      <c r="E15" s="2"/>
    </row>
    <row r="16" spans="1:5" ht="34.950000000000003" customHeight="1">
      <c r="A16" s="1"/>
      <c r="B16" s="2" t="s">
        <v>94</v>
      </c>
      <c r="C16" s="2" t="str">
        <f>VLOOKUP(B16,'02_Cong_viec'!$B$9:$D$204,3,FALSE)</f>
        <v>Install pinned Flutter 3.32.8 + Android tooling</v>
      </c>
      <c r="D16" s="2"/>
      <c r="E16" s="2"/>
    </row>
    <row r="17" spans="1:5" ht="34.950000000000003" customHeight="1">
      <c r="A17" s="1"/>
      <c r="B17" s="2" t="s">
        <v>96</v>
      </c>
      <c r="C17" s="2" t="str">
        <f>VLOOKUP(B17,'02_Cong_viec'!$B$9:$D$204,3,FALSE)</f>
        <v>Analyze/test/build + actual Android boot</v>
      </c>
      <c r="D17" s="2"/>
      <c r="E17" s="2"/>
    </row>
    <row r="18" spans="1:5" ht="34.950000000000003" customHeight="1">
      <c r="A18" s="1"/>
      <c r="B18" s="2" t="s">
        <v>98</v>
      </c>
      <c r="C18" s="2" t="str">
        <f>VLOOKUP(B18,'02_Cong_viec'!$B$9:$D$204,3,FALSE)</f>
        <v>Analyze/test/build + actual Web boot</v>
      </c>
      <c r="D18" s="2"/>
      <c r="E18" s="2"/>
    </row>
    <row r="19" spans="1:5" ht="34.950000000000003" customHeight="1">
      <c r="A19" s="1"/>
      <c r="B19" s="2" t="s">
        <v>100</v>
      </c>
      <c r="C19" s="2" t="str">
        <f>VLOOKUP(B19,'02_Cong_viec'!$B$9:$D$204,3,FALSE)</f>
        <v>Hosted CI green</v>
      </c>
      <c r="D19" s="2"/>
      <c r="E19" s="2"/>
    </row>
    <row r="20" spans="1:5" ht="34.950000000000003" customHeight="1">
      <c r="A20" s="1"/>
      <c r="B20" s="2" t="s">
        <v>102</v>
      </c>
      <c r="C20" s="2" t="str">
        <f>VLOOKUP(B20,'02_Cong_viec'!$B$9:$D$204,3,FALSE)</f>
        <v>Full clean reproduction</v>
      </c>
      <c r="D20" s="2"/>
      <c r="E20" s="2"/>
    </row>
    <row r="21" spans="1:5" ht="34.950000000000003" customHeight="1">
      <c r="A21" s="1"/>
      <c r="B21" s="2" t="s">
        <v>104</v>
      </c>
      <c r="C21" s="2" t="str">
        <f>VLOOKUP(B21,'02_Cong_viec'!$B$9:$D$204,3,FALSE)</f>
        <v>Chỉ lập Phase 2 contract sau khi Phase 1 PASS</v>
      </c>
      <c r="D21" s="2"/>
      <c r="E21" s="2"/>
    </row>
    <row r="22" spans="1:5" ht="24" customHeight="1">
      <c r="A22" s="1"/>
      <c r="B22" s="1"/>
      <c r="C22" s="1"/>
      <c r="D22" s="1"/>
      <c r="E22" s="1"/>
    </row>
    <row r="23" spans="1:5" ht="24" customHeight="1">
      <c r="A23" s="1"/>
      <c r="B23" s="1"/>
      <c r="C23" s="1"/>
      <c r="D23" s="1"/>
      <c r="E23" s="1"/>
    </row>
    <row r="24" spans="1:5" ht="24" customHeight="1">
      <c r="A24" s="1"/>
      <c r="B24" s="1"/>
      <c r="C24" s="1"/>
      <c r="D24" s="1"/>
      <c r="E24" s="1"/>
    </row>
    <row r="25" spans="1:5" ht="24" customHeight="1">
      <c r="A25" s="1"/>
      <c r="B25" s="1"/>
      <c r="C25" s="1"/>
      <c r="D25" s="1"/>
      <c r="E25" s="1"/>
    </row>
    <row r="26" spans="1:5" ht="24" customHeight="1">
      <c r="A26" s="1"/>
      <c r="B26" s="1"/>
      <c r="C26" s="1"/>
      <c r="D26" s="1"/>
      <c r="E26" s="1"/>
    </row>
    <row r="27" spans="1:5" ht="24" customHeight="1">
      <c r="A27" s="1"/>
      <c r="B27" s="1"/>
      <c r="C27" s="1"/>
      <c r="D27" s="1"/>
      <c r="E27" s="1"/>
    </row>
    <row r="28" spans="1:5" ht="24" customHeight="1">
      <c r="A28" s="1"/>
      <c r="B28" s="1"/>
      <c r="C28" s="1"/>
      <c r="D28" s="1"/>
      <c r="E28" s="1"/>
    </row>
    <row r="29" spans="1:5" ht="24" customHeight="1">
      <c r="A29" s="1"/>
      <c r="B29" s="1"/>
      <c r="C29" s="1"/>
      <c r="D29" s="1"/>
      <c r="E29" s="1"/>
    </row>
    <row r="30" spans="1:5" ht="24" customHeight="1">
      <c r="A30" s="1"/>
      <c r="B30" s="1"/>
      <c r="C30" s="1"/>
      <c r="D30" s="1"/>
      <c r="E30" s="1"/>
    </row>
    <row r="31" spans="1:5" ht="24" customHeight="1">
      <c r="A31" s="1"/>
      <c r="B31" s="1"/>
      <c r="C31" s="1"/>
      <c r="D31" s="1"/>
      <c r="E31" s="1"/>
    </row>
    <row r="32" spans="1:5" ht="24" customHeight="1">
      <c r="A32" s="1"/>
      <c r="B32" s="1"/>
      <c r="C32" s="1"/>
      <c r="D32" s="1"/>
      <c r="E32" s="1"/>
    </row>
    <row r="33" spans="1:5" ht="24" customHeight="1">
      <c r="A33" s="1"/>
      <c r="B33" s="1"/>
      <c r="C33" s="1"/>
      <c r="D33" s="1"/>
      <c r="E33" s="1"/>
    </row>
    <row r="34" spans="1:5" ht="24" customHeight="1">
      <c r="A34" s="1"/>
      <c r="B34" s="1"/>
      <c r="C34" s="1"/>
      <c r="D34" s="1"/>
      <c r="E34" s="1"/>
    </row>
    <row r="35" spans="1:5" ht="24" customHeight="1">
      <c r="A35" s="1"/>
      <c r="B35" s="1"/>
      <c r="C35" s="1"/>
      <c r="D35" s="1"/>
      <c r="E35" s="1"/>
    </row>
    <row r="36" spans="1:5" ht="24" customHeight="1">
      <c r="A36" s="1"/>
      <c r="B36" s="1"/>
      <c r="C36" s="1"/>
      <c r="D36" s="1"/>
      <c r="E36" s="1"/>
    </row>
    <row r="37" spans="1:5" ht="24" customHeight="1">
      <c r="A37" s="1"/>
      <c r="B37" s="1"/>
      <c r="C37" s="1"/>
      <c r="D37" s="1"/>
      <c r="E37" s="1"/>
    </row>
    <row r="38" spans="1:5" ht="24" customHeight="1">
      <c r="A38" s="1"/>
      <c r="B38" s="1"/>
      <c r="C38" s="1"/>
      <c r="D38" s="1"/>
      <c r="E38" s="1"/>
    </row>
    <row r="39" spans="1:5" ht="24" customHeight="1">
      <c r="A39" s="1"/>
      <c r="B39" s="1"/>
      <c r="C39" s="1"/>
      <c r="D39" s="1"/>
      <c r="E39" s="1"/>
    </row>
    <row r="40" spans="1:5" ht="24" customHeight="1">
      <c r="A40" s="1"/>
      <c r="B40" s="1"/>
      <c r="C40" s="1"/>
      <c r="D40" s="1"/>
      <c r="E40" s="1"/>
    </row>
    <row r="41" spans="1:5" ht="24" customHeight="1">
      <c r="A41" s="1"/>
      <c r="B41" s="1"/>
      <c r="C41" s="1"/>
      <c r="D41" s="1"/>
      <c r="E41" s="1"/>
    </row>
    <row r="42" spans="1:5" ht="24" customHeight="1">
      <c r="A42" s="1"/>
      <c r="B42" s="1"/>
      <c r="C42" s="1"/>
      <c r="D42" s="1"/>
      <c r="E42" s="1"/>
    </row>
    <row r="43" spans="1:5" ht="24" customHeight="1">
      <c r="A43" s="1"/>
      <c r="B43" s="1"/>
      <c r="C43" s="1"/>
      <c r="D43" s="1"/>
      <c r="E43" s="1"/>
    </row>
    <row r="44" spans="1:5" ht="24" customHeight="1">
      <c r="A44" s="1"/>
      <c r="B44" s="1"/>
      <c r="C44" s="1"/>
      <c r="D44" s="1"/>
      <c r="E44" s="1"/>
    </row>
    <row r="45" spans="1:5" ht="24" customHeight="1">
      <c r="A45" s="1"/>
      <c r="B45" s="1"/>
      <c r="C45" s="1"/>
      <c r="D45" s="1"/>
      <c r="E45" s="1"/>
    </row>
    <row r="46" spans="1:5" ht="24" customHeight="1">
      <c r="A46" s="1"/>
      <c r="B46" s="1"/>
      <c r="C46" s="1"/>
      <c r="D46" s="1"/>
      <c r="E46" s="1"/>
    </row>
    <row r="47" spans="1:5" ht="24" customHeight="1">
      <c r="A47" s="1"/>
      <c r="B47" s="1"/>
      <c r="C47" s="1"/>
      <c r="D47" s="1"/>
      <c r="E47" s="1"/>
    </row>
    <row r="48" spans="1:5" ht="24" customHeight="1">
      <c r="A48" s="1"/>
      <c r="B48" s="1"/>
      <c r="C48" s="1"/>
      <c r="D48" s="1"/>
      <c r="E48" s="1"/>
    </row>
    <row r="49" spans="1:5" ht="24" customHeight="1">
      <c r="A49" s="1"/>
      <c r="B49" s="1"/>
      <c r="C49" s="1"/>
      <c r="D49" s="1"/>
      <c r="E49" s="1"/>
    </row>
    <row r="50" spans="1:5" ht="24" customHeight="1">
      <c r="A50" s="1"/>
      <c r="B50" s="1"/>
      <c r="C50" s="1"/>
      <c r="D50" s="1"/>
      <c r="E50" s="1"/>
    </row>
    <row r="51" spans="1:5" ht="24" customHeight="1">
      <c r="A51" s="1"/>
      <c r="B51" s="1"/>
      <c r="C51" s="1"/>
      <c r="D51" s="1"/>
      <c r="E51" s="1"/>
    </row>
    <row r="52" spans="1:5" ht="24" customHeight="1">
      <c r="A52" s="1"/>
      <c r="B52" s="1"/>
      <c r="C52" s="1"/>
      <c r="D52" s="1"/>
      <c r="E52" s="1"/>
    </row>
    <row r="53" spans="1:5" ht="24" customHeight="1">
      <c r="A53" s="1"/>
      <c r="B53" s="1"/>
      <c r="C53" s="1"/>
      <c r="D53" s="1"/>
      <c r="E53" s="1"/>
    </row>
    <row r="54" spans="1:5" ht="24" customHeight="1">
      <c r="A54" s="1"/>
      <c r="B54" s="1"/>
      <c r="C54" s="1"/>
      <c r="D54" s="1"/>
      <c r="E54" s="1"/>
    </row>
    <row r="55" spans="1:5" ht="24" customHeight="1">
      <c r="A55" s="1"/>
      <c r="B55" s="1"/>
      <c r="C55" s="1"/>
      <c r="D55" s="1"/>
      <c r="E55" s="1"/>
    </row>
  </sheetData>
  <mergeCells count="3">
    <mergeCell ref="B2:E2"/>
    <mergeCell ref="B4:E4"/>
    <mergeCell ref="B5:E5"/>
  </mergeCells>
  <hyperlinks>
    <hyperlink ref="E1" location="'01_Muc_luc'!A1" display="← Mục lục" xr:uid="{4C1F9ED4-45D6-4A36-A745-7BBBB1768E18}"/>
  </hyperlinks>
  <pageMargins left="0.30555555555555558" right="0.30555555555555558" top="0.30555555555555558" bottom="0.30555555555555558" header="0.3" footer="0.3"/>
  <pageSetup paperSize="8"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EBDB2"/>
    <pageSetUpPr fitToPage="1"/>
  </sheetPr>
  <dimension ref="A1:E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23.69921875" customWidth="1"/>
    <col min="3" max="3" width="17.5" customWidth="1"/>
    <col min="4" max="4" width="66.8984375" customWidth="1"/>
    <col min="5" max="5" width="25.59765625" customWidth="1"/>
  </cols>
  <sheetData>
    <row r="1" spans="1:5" ht="24" customHeight="1">
      <c r="A1" s="1"/>
      <c r="B1" s="1"/>
      <c r="C1" s="1"/>
      <c r="D1" s="1"/>
      <c r="E1" s="10" t="s">
        <v>572</v>
      </c>
    </row>
    <row r="2" spans="1:5" ht="24" customHeight="1">
      <c r="A2" s="1"/>
      <c r="B2" s="16" t="s">
        <v>66</v>
      </c>
      <c r="C2" s="16"/>
      <c r="D2" s="16"/>
      <c r="E2" s="16"/>
    </row>
    <row r="3" spans="1:5" ht="24" customHeight="1">
      <c r="A3" s="1"/>
      <c r="B3" s="1"/>
      <c r="C3" s="1"/>
      <c r="D3" s="1"/>
      <c r="E3" s="1"/>
    </row>
    <row r="4" spans="1:5" ht="39" customHeight="1">
      <c r="A4" s="1"/>
      <c r="B4" s="17" t="s">
        <v>36</v>
      </c>
      <c r="C4" s="17"/>
      <c r="D4" s="17"/>
      <c r="E4" s="17"/>
    </row>
    <row r="5" spans="1:5" ht="30" customHeight="1">
      <c r="A5" s="1"/>
      <c r="B5" s="11" t="s">
        <v>143</v>
      </c>
      <c r="C5" s="11"/>
      <c r="D5" s="11"/>
      <c r="E5" s="11"/>
    </row>
    <row r="6" spans="1:5" ht="10.050000000000001" customHeight="1">
      <c r="A6" s="1"/>
      <c r="B6" s="2"/>
      <c r="C6" s="2"/>
      <c r="D6" s="2"/>
      <c r="E6" s="2"/>
    </row>
    <row r="7" spans="1:5" ht="12" customHeight="1">
      <c r="A7" s="1"/>
      <c r="B7" s="1"/>
      <c r="C7" s="1"/>
      <c r="D7" s="1"/>
      <c r="E7" s="1"/>
    </row>
    <row r="8" spans="1:5" ht="31.05" customHeight="1">
      <c r="A8" s="1"/>
      <c r="B8" s="3" t="s">
        <v>109</v>
      </c>
      <c r="C8" s="3" t="s">
        <v>71</v>
      </c>
      <c r="D8" s="3" t="s">
        <v>111</v>
      </c>
      <c r="E8" s="3" t="s">
        <v>144</v>
      </c>
    </row>
    <row r="9" spans="1:5" ht="45" customHeight="1">
      <c r="A9" s="1"/>
      <c r="B9" s="2" t="s">
        <v>145</v>
      </c>
      <c r="C9" s="7" t="str">
        <f>IF(AND(VLOOKUP("P1-T001",'02_Cong_viec'!$B$9:$F$204,5,FALSE)="XONG",VLOOKUP("P1-T002",'02_Cong_viec'!$B$9:$F$204,5,FALSE)="XONG",VLOOKUP("P1-T003",'02_Cong_viec'!$B$9:$F$204,5,FALSE)="XONG"),"XONG",IF(OR(VLOOKUP("P1-T001",'02_Cong_viec'!$B$9:$F$204,5,FALSE)="BỊ CHẶN",VLOOKUP("P1-T002",'02_Cong_viec'!$B$9:$F$204,5,FALSE)="BỊ CHẶN",VLOOKUP("P1-T003",'02_Cong_viec'!$B$9:$F$204,5,FALSE)="BỊ CHẶN"),"BỊ CHẶN","ĐANG LÀM"))</f>
        <v>ĐANG LÀM</v>
      </c>
      <c r="D9" s="2" t="s">
        <v>146</v>
      </c>
      <c r="E9" s="2" t="s">
        <v>147</v>
      </c>
    </row>
    <row r="10" spans="1:5" ht="45" customHeight="1">
      <c r="A10" s="1"/>
      <c r="B10" s="2" t="s">
        <v>148</v>
      </c>
      <c r="C10" s="7" t="str">
        <f>IF(AND(VLOOKUP("P1-T005",'02_Cong_viec'!$B$9:$F$204,5,FALSE)="XONG",VLOOKUP("P1-T006",'02_Cong_viec'!$B$9:$F$204,5,FALSE)="XONG"),"XONG",IF(OR(VLOOKUP("P1-T005",'02_Cong_viec'!$B$9:$F$204,5,FALSE)="BỊ CHẶN",VLOOKUP("P1-T006",'02_Cong_viec'!$B$9:$F$204,5,FALSE)="BỊ CHẶN"),"BỊ CHẶN","CHỜ"))</f>
        <v>BỊ CHẶN</v>
      </c>
      <c r="D10" s="2" t="s">
        <v>149</v>
      </c>
      <c r="E10" s="2" t="s">
        <v>150</v>
      </c>
    </row>
    <row r="11" spans="1:5" ht="45" customHeight="1">
      <c r="A11" s="1"/>
      <c r="B11" s="2" t="s">
        <v>151</v>
      </c>
      <c r="C11" s="7" t="str">
        <f>VLOOKUP("P1-T007",'02_Cong_viec'!$B$9:$F$204,5,FALSE)</f>
        <v>BỊ CHẶN</v>
      </c>
      <c r="D11" s="2" t="s">
        <v>152</v>
      </c>
      <c r="E11" s="2" t="s">
        <v>92</v>
      </c>
    </row>
    <row r="12" spans="1:5" ht="45" customHeight="1">
      <c r="A12" s="1"/>
      <c r="B12" s="2" t="s">
        <v>153</v>
      </c>
      <c r="C12" s="7" t="str">
        <f>IF(AND(VLOOKUP("P1-T009",'02_Cong_viec'!$B$9:$F$204,5,FALSE)="XONG",VLOOKUP("P1-T010",'02_Cong_viec'!$B$9:$F$204,5,FALSE)="XONG"),"XONG",IF(OR(VLOOKUP("P1-T008",'02_Cong_viec'!$B$9:$F$204,5,FALSE)="BỊ CHẶN",VLOOKUP("P1-T009",'02_Cong_viec'!$B$9:$F$204,5,FALSE)="BỊ CHẶN",VLOOKUP("P1-T010",'02_Cong_viec'!$B$9:$F$204,5,FALSE)="BỊ CHẶN"),"BỊ CHẶN","CHỜ"))</f>
        <v>BỊ CHẶN</v>
      </c>
      <c r="D12" s="2" t="s">
        <v>154</v>
      </c>
      <c r="E12" s="2" t="s">
        <v>155</v>
      </c>
    </row>
    <row r="13" spans="1:5" ht="45" customHeight="1">
      <c r="A13" s="1"/>
      <c r="B13" s="2" t="s">
        <v>156</v>
      </c>
      <c r="C13" s="7" t="str">
        <f>VLOOKUP("P1-T011",'02_Cong_viec'!$B$9:$F$204,5,FALSE)</f>
        <v>BỊ CHẶN</v>
      </c>
      <c r="D13" s="2" t="s">
        <v>157</v>
      </c>
      <c r="E13" s="2" t="s">
        <v>100</v>
      </c>
    </row>
    <row r="14" spans="1:5" ht="45" customHeight="1">
      <c r="A14" s="1"/>
      <c r="B14" s="2" t="s">
        <v>158</v>
      </c>
      <c r="C14" s="7" t="str">
        <f>VLOOKUP("P1-T012",'02_Cong_viec'!$B$9:$F$204,5,FALSE)</f>
        <v>BỊ CHẶN</v>
      </c>
      <c r="D14" s="2" t="s">
        <v>159</v>
      </c>
      <c r="E14" s="2" t="s">
        <v>102</v>
      </c>
    </row>
    <row r="15" spans="1:5" ht="24" customHeight="1">
      <c r="A15" s="1"/>
      <c r="B15" s="1"/>
      <c r="C15" s="1"/>
      <c r="D15" s="1"/>
      <c r="E15" s="1"/>
    </row>
    <row r="16" spans="1:5" ht="24" customHeight="1">
      <c r="A16" s="1"/>
      <c r="B16" s="1"/>
      <c r="C16" s="1"/>
      <c r="D16" s="1"/>
      <c r="E16" s="1"/>
    </row>
    <row r="17" spans="1:5" ht="24" customHeight="1">
      <c r="A17" s="1"/>
      <c r="B17" s="20" t="s">
        <v>160</v>
      </c>
      <c r="C17" s="20"/>
      <c r="D17" s="20"/>
      <c r="E17" s="20"/>
    </row>
    <row r="18" spans="1:5" ht="24" customHeight="1">
      <c r="A18" s="1"/>
      <c r="B18" s="1"/>
      <c r="C18" s="1"/>
      <c r="D18" s="1"/>
      <c r="E18" s="1"/>
    </row>
    <row r="19" spans="1:5" ht="37.049999999999997" customHeight="1">
      <c r="A19" s="1"/>
      <c r="B19" s="8">
        <v>1</v>
      </c>
      <c r="C19" s="21" t="s">
        <v>161</v>
      </c>
      <c r="D19" s="21"/>
      <c r="E19" s="1" t="s">
        <v>162</v>
      </c>
    </row>
    <row r="20" spans="1:5" ht="37.049999999999997" customHeight="1">
      <c r="A20" s="1"/>
      <c r="B20" s="8">
        <v>2</v>
      </c>
      <c r="C20" s="21" t="s">
        <v>163</v>
      </c>
      <c r="D20" s="21"/>
      <c r="E20" s="1" t="s">
        <v>164</v>
      </c>
    </row>
    <row r="21" spans="1:5" ht="37.049999999999997" customHeight="1">
      <c r="A21" s="1"/>
      <c r="B21" s="8">
        <v>3</v>
      </c>
      <c r="C21" s="21" t="s">
        <v>165</v>
      </c>
      <c r="D21" s="21"/>
      <c r="E21" s="1" t="s">
        <v>166</v>
      </c>
    </row>
    <row r="22" spans="1:5" ht="37.049999999999997" customHeight="1">
      <c r="A22" s="1"/>
      <c r="B22" s="8">
        <v>4</v>
      </c>
      <c r="C22" s="21" t="s">
        <v>167</v>
      </c>
      <c r="D22" s="21"/>
      <c r="E22" s="1" t="s">
        <v>168</v>
      </c>
    </row>
    <row r="23" spans="1:5" ht="37.049999999999997" customHeight="1">
      <c r="A23" s="1"/>
      <c r="B23" s="8">
        <v>5</v>
      </c>
      <c r="C23" s="21" t="s">
        <v>156</v>
      </c>
      <c r="D23" s="21"/>
      <c r="E23" s="1" t="s">
        <v>169</v>
      </c>
    </row>
    <row r="24" spans="1:5" ht="37.049999999999997" customHeight="1">
      <c r="A24" s="1"/>
      <c r="B24" s="8">
        <v>6</v>
      </c>
      <c r="C24" s="21" t="s">
        <v>103</v>
      </c>
      <c r="D24" s="21"/>
      <c r="E24" s="1" t="s">
        <v>170</v>
      </c>
    </row>
    <row r="25" spans="1:5" ht="24" customHeight="1">
      <c r="A25" s="1"/>
      <c r="B25" s="1"/>
      <c r="C25" s="1"/>
      <c r="D25" s="1"/>
      <c r="E25" s="1"/>
    </row>
    <row r="26" spans="1:5" ht="24" customHeight="1">
      <c r="A26" s="1"/>
      <c r="B26" s="1"/>
      <c r="C26" s="1"/>
      <c r="D26" s="1"/>
      <c r="E26" s="1"/>
    </row>
    <row r="27" spans="1:5" ht="24" customHeight="1">
      <c r="A27" s="1"/>
      <c r="B27" s="1"/>
      <c r="C27" s="1"/>
      <c r="D27" s="1"/>
      <c r="E27" s="1"/>
    </row>
    <row r="28" spans="1:5" ht="24" customHeight="1">
      <c r="A28" s="1"/>
      <c r="B28" s="1"/>
      <c r="C28" s="1"/>
      <c r="D28" s="1"/>
      <c r="E28" s="1"/>
    </row>
    <row r="29" spans="1:5" ht="24" customHeight="1">
      <c r="A29" s="1"/>
      <c r="B29" s="1"/>
      <c r="C29" s="1"/>
      <c r="D29" s="1"/>
      <c r="E29" s="1"/>
    </row>
    <row r="30" spans="1:5" ht="24" customHeight="1">
      <c r="A30" s="1"/>
      <c r="B30" s="1"/>
      <c r="C30" s="1"/>
      <c r="D30" s="1"/>
      <c r="E30" s="1"/>
    </row>
    <row r="31" spans="1:5" ht="24" customHeight="1">
      <c r="A31" s="1"/>
      <c r="B31" s="1"/>
      <c r="C31" s="1"/>
      <c r="D31" s="1"/>
      <c r="E31" s="1"/>
    </row>
    <row r="32" spans="1:5" ht="24" customHeight="1">
      <c r="A32" s="1"/>
      <c r="B32" s="1"/>
      <c r="C32" s="1"/>
      <c r="D32" s="1"/>
      <c r="E32" s="1"/>
    </row>
    <row r="33" spans="1:5" ht="24" customHeight="1">
      <c r="A33" s="1"/>
      <c r="B33" s="1"/>
      <c r="C33" s="1"/>
      <c r="D33" s="1"/>
      <c r="E33" s="1"/>
    </row>
    <row r="34" spans="1:5" ht="24" customHeight="1">
      <c r="A34" s="1"/>
      <c r="B34" s="1"/>
      <c r="C34" s="1"/>
      <c r="D34" s="1"/>
      <c r="E34" s="1"/>
    </row>
    <row r="35" spans="1:5" ht="24" customHeight="1">
      <c r="A35" s="1"/>
      <c r="B35" s="1"/>
      <c r="C35" s="1"/>
      <c r="D35" s="1"/>
      <c r="E35" s="1"/>
    </row>
    <row r="36" spans="1:5" ht="24" customHeight="1">
      <c r="A36" s="1"/>
      <c r="B36" s="1"/>
      <c r="C36" s="1"/>
      <c r="D36" s="1"/>
      <c r="E36" s="1"/>
    </row>
    <row r="37" spans="1:5" ht="24" customHeight="1">
      <c r="A37" s="1"/>
      <c r="B37" s="1"/>
      <c r="C37" s="1"/>
      <c r="D37" s="1"/>
      <c r="E37" s="1"/>
    </row>
    <row r="38" spans="1:5" ht="24" customHeight="1">
      <c r="A38" s="1"/>
      <c r="B38" s="1"/>
      <c r="C38" s="1"/>
      <c r="D38" s="1"/>
      <c r="E38" s="1"/>
    </row>
    <row r="39" spans="1:5" ht="24" customHeight="1">
      <c r="A39" s="1"/>
      <c r="B39" s="1"/>
      <c r="C39" s="1"/>
      <c r="D39" s="1"/>
      <c r="E39" s="1"/>
    </row>
    <row r="40" spans="1:5" ht="24" customHeight="1">
      <c r="A40" s="1"/>
      <c r="B40" s="1"/>
      <c r="C40" s="1"/>
      <c r="D40" s="1"/>
      <c r="E40" s="1"/>
    </row>
    <row r="41" spans="1:5" ht="24" customHeight="1">
      <c r="A41" s="1"/>
      <c r="B41" s="1"/>
      <c r="C41" s="1"/>
      <c r="D41" s="1"/>
      <c r="E41" s="1"/>
    </row>
    <row r="42" spans="1:5" ht="24" customHeight="1">
      <c r="A42" s="1"/>
      <c r="B42" s="1"/>
      <c r="C42" s="1"/>
      <c r="D42" s="1"/>
      <c r="E42" s="1"/>
    </row>
    <row r="43" spans="1:5" ht="24" customHeight="1">
      <c r="A43" s="1"/>
      <c r="B43" s="1"/>
      <c r="C43" s="1"/>
      <c r="D43" s="1"/>
      <c r="E43" s="1"/>
    </row>
    <row r="44" spans="1:5" ht="24" customHeight="1">
      <c r="A44" s="1"/>
      <c r="B44" s="1"/>
      <c r="C44" s="1"/>
      <c r="D44" s="1"/>
      <c r="E44" s="1"/>
    </row>
    <row r="45" spans="1:5" ht="24" customHeight="1">
      <c r="A45" s="1"/>
      <c r="B45" s="1"/>
      <c r="C45" s="1"/>
      <c r="D45" s="1"/>
      <c r="E45" s="1"/>
    </row>
    <row r="46" spans="1:5" ht="24" customHeight="1">
      <c r="A46" s="1"/>
      <c r="B46" s="1"/>
      <c r="C46" s="1"/>
      <c r="D46" s="1"/>
      <c r="E46" s="1"/>
    </row>
    <row r="47" spans="1:5" ht="24" customHeight="1">
      <c r="A47" s="1"/>
      <c r="B47" s="1"/>
      <c r="C47" s="1"/>
      <c r="D47" s="1"/>
      <c r="E47" s="1"/>
    </row>
    <row r="48" spans="1:5" ht="24" customHeight="1">
      <c r="A48" s="1"/>
      <c r="B48" s="1"/>
      <c r="C48" s="1"/>
      <c r="D48" s="1"/>
      <c r="E48" s="1"/>
    </row>
    <row r="49" spans="1:5" ht="24" customHeight="1">
      <c r="A49" s="1"/>
      <c r="B49" s="1"/>
      <c r="C49" s="1"/>
      <c r="D49" s="1"/>
      <c r="E49" s="1"/>
    </row>
    <row r="50" spans="1:5" ht="24" customHeight="1">
      <c r="A50" s="1"/>
      <c r="B50" s="1"/>
      <c r="C50" s="1"/>
      <c r="D50" s="1"/>
      <c r="E50" s="1"/>
    </row>
    <row r="51" spans="1:5" ht="24" customHeight="1">
      <c r="A51" s="1"/>
      <c r="B51" s="1"/>
      <c r="C51" s="1"/>
      <c r="D51" s="1"/>
      <c r="E51" s="1"/>
    </row>
    <row r="52" spans="1:5" ht="24" customHeight="1">
      <c r="A52" s="1"/>
      <c r="B52" s="1"/>
      <c r="C52" s="1"/>
      <c r="D52" s="1"/>
      <c r="E52" s="1"/>
    </row>
    <row r="53" spans="1:5" ht="24" customHeight="1">
      <c r="A53" s="1"/>
      <c r="B53" s="1"/>
      <c r="C53" s="1"/>
      <c r="D53" s="1"/>
      <c r="E53" s="1"/>
    </row>
    <row r="54" spans="1:5" ht="24" customHeight="1">
      <c r="A54" s="1"/>
      <c r="B54" s="1"/>
      <c r="C54" s="1"/>
      <c r="D54" s="1"/>
      <c r="E54" s="1"/>
    </row>
    <row r="55" spans="1:5" ht="24" customHeight="1">
      <c r="A55" s="1"/>
      <c r="B55" s="1"/>
      <c r="C55" s="1"/>
      <c r="D55" s="1"/>
      <c r="E55" s="1"/>
    </row>
  </sheetData>
  <mergeCells count="10">
    <mergeCell ref="B2:E2"/>
    <mergeCell ref="B4:E4"/>
    <mergeCell ref="B5:E5"/>
    <mergeCell ref="B17:E17"/>
    <mergeCell ref="C19:D19"/>
    <mergeCell ref="C20:D20"/>
    <mergeCell ref="C21:D21"/>
    <mergeCell ref="C22:D22"/>
    <mergeCell ref="C23:D23"/>
    <mergeCell ref="C24:D24"/>
  </mergeCells>
  <conditionalFormatting sqref="C9:C14">
    <cfRule type="cellIs" dxfId="96" priority="1" operator="equal">
      <formula>"ĐANG LÀM"</formula>
    </cfRule>
    <cfRule type="cellIs" dxfId="95" priority="2" operator="equal">
      <formula>"XONG"</formula>
    </cfRule>
    <cfRule type="cellIs" dxfId="94" priority="3" operator="equal">
      <formula>"PASS"</formula>
    </cfRule>
    <cfRule type="cellIs" dxfId="93" priority="4" operator="equal">
      <formula>"ĐÃ GIẢI QUYẾT"</formula>
    </cfRule>
    <cfRule type="cellIs" dxfId="92" priority="5" operator="equal">
      <formula>"BỊ CHẶN"</formula>
    </cfRule>
    <cfRule type="cellIs" dxfId="91" priority="6" operator="equal">
      <formula>"FAIL"</formula>
    </cfRule>
    <cfRule type="cellIs" dxfId="90" priority="7" operator="equal">
      <formula>"CHỜ"</formula>
    </cfRule>
    <cfRule type="cellIs" dxfId="89" priority="8" operator="equal">
      <formula>"CHỜ CHẠY"</formula>
    </cfRule>
    <cfRule type="cellIs" dxfId="88" priority="9" operator="equal">
      <formula>"MỞ"</formula>
    </cfRule>
    <cfRule type="cellIs" dxfId="87" priority="10" operator="equal">
      <formula>"TẠM HOÃN"</formula>
    </cfRule>
    <cfRule type="cellIs" dxfId="86" priority="11" operator="equal">
      <formula>"CHƯA LÀM"</formula>
    </cfRule>
    <cfRule type="cellIs" dxfId="85" priority="12" operator="equal">
      <formula>"PASS LỊCH SỬ"</formula>
    </cfRule>
    <cfRule type="cellIs" dxfId="84" priority="13" operator="equal">
      <formula>"TÌM THẤY / CHỜ CHẠY LẠI"</formula>
    </cfRule>
  </conditionalFormatting>
  <hyperlinks>
    <hyperlink ref="E1" location="'01_Muc_luc'!A1" display="← Mục lục" xr:uid="{3F4C7216-B4AB-4EC8-9F83-83FB5FB895FE}"/>
  </hyperlinks>
  <pageMargins left="0.30555555555555558" right="0.30555555555555558" top="0.30555555555555558" bottom="0.30555555555555558" header="0.3" footer="0.3"/>
  <pageSetup paperSize="8" scale="89"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EBDB2"/>
    <pageSetUpPr fitToPage="1"/>
  </sheetPr>
  <dimension ref="A1:G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7.19921875" customWidth="1"/>
    <col min="3" max="3" width="28.69921875" customWidth="1"/>
    <col min="4" max="4" width="38.69921875" customWidth="1"/>
    <col min="5" max="5" width="38.09765625" customWidth="1"/>
    <col min="6" max="6" width="15" customWidth="1"/>
    <col min="7" max="7" width="23.69921875" customWidth="1"/>
  </cols>
  <sheetData>
    <row r="1" spans="1:7" ht="24" customHeight="1">
      <c r="A1" s="1"/>
      <c r="B1" s="1"/>
      <c r="C1" s="1"/>
      <c r="D1" s="1"/>
      <c r="E1" s="1"/>
      <c r="F1" s="1"/>
      <c r="G1" s="10" t="s">
        <v>572</v>
      </c>
    </row>
    <row r="2" spans="1:7" ht="24" customHeight="1">
      <c r="A2" s="1"/>
      <c r="B2" s="16" t="s">
        <v>171</v>
      </c>
      <c r="C2" s="16"/>
      <c r="D2" s="16"/>
      <c r="E2" s="16"/>
      <c r="F2" s="16"/>
      <c r="G2" s="16"/>
    </row>
    <row r="3" spans="1:7" ht="24" customHeight="1">
      <c r="A3" s="1"/>
      <c r="B3" s="1"/>
      <c r="C3" s="1"/>
      <c r="D3" s="1"/>
      <c r="E3" s="1"/>
      <c r="F3" s="1"/>
      <c r="G3" s="1"/>
    </row>
    <row r="4" spans="1:7" ht="39" customHeight="1">
      <c r="A4" s="1"/>
      <c r="B4" s="17" t="s">
        <v>40</v>
      </c>
      <c r="C4" s="17"/>
      <c r="D4" s="17"/>
      <c r="E4" s="17"/>
      <c r="F4" s="17"/>
      <c r="G4" s="17"/>
    </row>
    <row r="5" spans="1:7" ht="30" customHeight="1">
      <c r="A5" s="1"/>
      <c r="B5" s="11" t="s">
        <v>172</v>
      </c>
      <c r="C5" s="11"/>
      <c r="D5" s="11"/>
      <c r="E5" s="11"/>
      <c r="F5" s="11"/>
      <c r="G5" s="11"/>
    </row>
    <row r="6" spans="1:7" ht="10.050000000000001" customHeight="1">
      <c r="A6" s="1"/>
      <c r="B6" s="2"/>
      <c r="C6" s="2"/>
      <c r="D6" s="2"/>
      <c r="E6" s="2"/>
      <c r="F6" s="2"/>
      <c r="G6" s="2"/>
    </row>
    <row r="7" spans="1:7" ht="12" customHeight="1">
      <c r="A7" s="1"/>
      <c r="B7" s="1"/>
      <c r="C7" s="1"/>
      <c r="D7" s="1"/>
      <c r="E7" s="1"/>
      <c r="F7" s="1"/>
      <c r="G7" s="1"/>
    </row>
    <row r="8" spans="1:7" ht="31.05" customHeight="1">
      <c r="A8" s="1"/>
      <c r="B8" s="3" t="s">
        <v>69</v>
      </c>
      <c r="C8" s="3" t="s">
        <v>173</v>
      </c>
      <c r="D8" s="3" t="s">
        <v>7</v>
      </c>
      <c r="E8" s="3" t="s">
        <v>174</v>
      </c>
      <c r="F8" s="3" t="s">
        <v>71</v>
      </c>
      <c r="G8" s="3" t="s">
        <v>112</v>
      </c>
    </row>
    <row r="9" spans="1:7" ht="45" customHeight="1">
      <c r="A9" s="1"/>
      <c r="B9" s="7">
        <v>0</v>
      </c>
      <c r="C9" s="2" t="s">
        <v>175</v>
      </c>
      <c r="D9" s="2" t="s">
        <v>176</v>
      </c>
      <c r="E9" s="2" t="s">
        <v>177</v>
      </c>
      <c r="F9" s="7" t="s">
        <v>178</v>
      </c>
      <c r="G9" s="2" t="s">
        <v>179</v>
      </c>
    </row>
    <row r="10" spans="1:7" ht="45" customHeight="1">
      <c r="A10" s="1"/>
      <c r="B10" s="7">
        <v>1</v>
      </c>
      <c r="C10" s="2" t="s">
        <v>4</v>
      </c>
      <c r="D10" s="2" t="s">
        <v>180</v>
      </c>
      <c r="E10" s="2" t="s">
        <v>181</v>
      </c>
      <c r="F10" s="7" t="str">
        <f>IF(COUNTIFS('02_Cong_viec'!$C$9:$C$204,"P1",'02_Cong_viec'!$F$9:$F$204,"&lt;&gt;XONG")=0,"XONG","ĐANG LÀM")</f>
        <v>ĐANG LÀM</v>
      </c>
      <c r="G10" s="2" t="s">
        <v>182</v>
      </c>
    </row>
    <row r="11" spans="1:7" ht="45" customHeight="1">
      <c r="A11" s="1"/>
      <c r="B11" s="7">
        <v>2</v>
      </c>
      <c r="C11" s="2" t="s">
        <v>183</v>
      </c>
      <c r="D11" s="2" t="s">
        <v>184</v>
      </c>
      <c r="E11" s="2" t="s">
        <v>185</v>
      </c>
      <c r="F11" s="7" t="s">
        <v>107</v>
      </c>
      <c r="G11" s="2" t="s">
        <v>186</v>
      </c>
    </row>
    <row r="12" spans="1:7" ht="45" customHeight="1">
      <c r="A12" s="1"/>
      <c r="B12" s="7">
        <v>3</v>
      </c>
      <c r="C12" s="2" t="s">
        <v>187</v>
      </c>
      <c r="D12" s="2" t="s">
        <v>188</v>
      </c>
      <c r="E12" s="2" t="s">
        <v>189</v>
      </c>
      <c r="F12" s="7" t="s">
        <v>107</v>
      </c>
      <c r="G12" s="2"/>
    </row>
    <row r="13" spans="1:7" ht="45" customHeight="1">
      <c r="A13" s="1"/>
      <c r="B13" s="7">
        <v>4</v>
      </c>
      <c r="C13" s="2" t="s">
        <v>190</v>
      </c>
      <c r="D13" s="2" t="s">
        <v>191</v>
      </c>
      <c r="E13" s="2" t="s">
        <v>192</v>
      </c>
      <c r="F13" s="7" t="s">
        <v>107</v>
      </c>
      <c r="G13" s="2"/>
    </row>
    <row r="14" spans="1:7" ht="45" customHeight="1">
      <c r="A14" s="1"/>
      <c r="B14" s="7">
        <v>5</v>
      </c>
      <c r="C14" s="2" t="s">
        <v>193</v>
      </c>
      <c r="D14" s="2" t="s">
        <v>194</v>
      </c>
      <c r="E14" s="2" t="s">
        <v>195</v>
      </c>
      <c r="F14" s="7" t="s">
        <v>107</v>
      </c>
      <c r="G14" s="2"/>
    </row>
    <row r="15" spans="1:7" ht="45" customHeight="1">
      <c r="A15" s="1"/>
      <c r="B15" s="7">
        <v>6</v>
      </c>
      <c r="C15" s="2" t="s">
        <v>196</v>
      </c>
      <c r="D15" s="2" t="s">
        <v>197</v>
      </c>
      <c r="E15" s="2" t="s">
        <v>198</v>
      </c>
      <c r="F15" s="7" t="s">
        <v>107</v>
      </c>
      <c r="G15" s="2"/>
    </row>
    <row r="16" spans="1:7" ht="45" customHeight="1">
      <c r="A16" s="1"/>
      <c r="B16" s="7">
        <v>7</v>
      </c>
      <c r="C16" s="2" t="s">
        <v>199</v>
      </c>
      <c r="D16" s="2" t="s">
        <v>200</v>
      </c>
      <c r="E16" s="2" t="s">
        <v>201</v>
      </c>
      <c r="F16" s="7" t="s">
        <v>107</v>
      </c>
      <c r="G16" s="2"/>
    </row>
    <row r="17" spans="1:7" ht="45" customHeight="1">
      <c r="A17" s="1"/>
      <c r="B17" s="7">
        <v>8</v>
      </c>
      <c r="C17" s="2" t="s">
        <v>202</v>
      </c>
      <c r="D17" s="2" t="s">
        <v>203</v>
      </c>
      <c r="E17" s="2" t="s">
        <v>204</v>
      </c>
      <c r="F17" s="7" t="s">
        <v>107</v>
      </c>
      <c r="G17" s="2"/>
    </row>
    <row r="18" spans="1:7" ht="45" customHeight="1">
      <c r="A18" s="1"/>
      <c r="B18" s="7">
        <v>9</v>
      </c>
      <c r="C18" s="2" t="s">
        <v>205</v>
      </c>
      <c r="D18" s="2" t="s">
        <v>206</v>
      </c>
      <c r="E18" s="2" t="s">
        <v>207</v>
      </c>
      <c r="F18" s="7" t="s">
        <v>107</v>
      </c>
      <c r="G18" s="2" t="s">
        <v>208</v>
      </c>
    </row>
    <row r="19" spans="1:7" ht="45" customHeight="1">
      <c r="A19" s="1"/>
      <c r="B19" s="7">
        <v>10</v>
      </c>
      <c r="C19" s="2" t="s">
        <v>209</v>
      </c>
      <c r="D19" s="2" t="s">
        <v>210</v>
      </c>
      <c r="E19" s="2" t="s">
        <v>211</v>
      </c>
      <c r="F19" s="7" t="s">
        <v>107</v>
      </c>
      <c r="G19" s="2"/>
    </row>
    <row r="20" spans="1:7" ht="45" customHeight="1">
      <c r="A20" s="1"/>
      <c r="B20" s="7">
        <v>11</v>
      </c>
      <c r="C20" s="2" t="s">
        <v>212</v>
      </c>
      <c r="D20" s="2" t="s">
        <v>213</v>
      </c>
      <c r="E20" s="2" t="s">
        <v>214</v>
      </c>
      <c r="F20" s="7" t="s">
        <v>107</v>
      </c>
      <c r="G20" s="2"/>
    </row>
    <row r="21" spans="1:7" ht="45" customHeight="1">
      <c r="A21" s="1"/>
      <c r="B21" s="7">
        <v>12</v>
      </c>
      <c r="C21" s="2" t="s">
        <v>215</v>
      </c>
      <c r="D21" s="2" t="s">
        <v>216</v>
      </c>
      <c r="E21" s="2" t="s">
        <v>217</v>
      </c>
      <c r="F21" s="7" t="s">
        <v>107</v>
      </c>
      <c r="G21" s="2"/>
    </row>
    <row r="22" spans="1:7" ht="45" customHeight="1">
      <c r="A22" s="1"/>
      <c r="B22" s="7">
        <v>13</v>
      </c>
      <c r="C22" s="2" t="s">
        <v>218</v>
      </c>
      <c r="D22" s="2" t="s">
        <v>219</v>
      </c>
      <c r="E22" s="2" t="s">
        <v>220</v>
      </c>
      <c r="F22" s="7" t="s">
        <v>107</v>
      </c>
      <c r="G22" s="2"/>
    </row>
    <row r="23" spans="1:7" ht="45" customHeight="1">
      <c r="A23" s="1"/>
      <c r="B23" s="7">
        <v>14</v>
      </c>
      <c r="C23" s="2" t="s">
        <v>221</v>
      </c>
      <c r="D23" s="2" t="s">
        <v>222</v>
      </c>
      <c r="E23" s="2" t="s">
        <v>223</v>
      </c>
      <c r="F23" s="7" t="s">
        <v>107</v>
      </c>
      <c r="G23" s="2"/>
    </row>
    <row r="24" spans="1:7" ht="45" customHeight="1">
      <c r="A24" s="1"/>
      <c r="B24" s="7">
        <v>15</v>
      </c>
      <c r="C24" s="2" t="s">
        <v>224</v>
      </c>
      <c r="D24" s="2" t="s">
        <v>225</v>
      </c>
      <c r="E24" s="2" t="s">
        <v>226</v>
      </c>
      <c r="F24" s="7" t="s">
        <v>107</v>
      </c>
      <c r="G24" s="2" t="s">
        <v>227</v>
      </c>
    </row>
    <row r="25" spans="1:7" ht="45" customHeight="1">
      <c r="A25" s="1"/>
      <c r="B25" s="7">
        <v>16</v>
      </c>
      <c r="C25" s="2" t="s">
        <v>228</v>
      </c>
      <c r="D25" s="2" t="s">
        <v>229</v>
      </c>
      <c r="E25" s="2" t="s">
        <v>230</v>
      </c>
      <c r="F25" s="7" t="s">
        <v>107</v>
      </c>
      <c r="G25" s="2"/>
    </row>
    <row r="26" spans="1:7" ht="45" customHeight="1">
      <c r="A26" s="1"/>
      <c r="B26" s="7">
        <v>17</v>
      </c>
      <c r="C26" s="2" t="s">
        <v>231</v>
      </c>
      <c r="D26" s="2" t="s">
        <v>232</v>
      </c>
      <c r="E26" s="2" t="s">
        <v>233</v>
      </c>
      <c r="F26" s="7" t="s">
        <v>107</v>
      </c>
      <c r="G26" s="2"/>
    </row>
    <row r="27" spans="1:7" ht="24" customHeight="1">
      <c r="A27" s="1"/>
      <c r="B27" s="8"/>
      <c r="C27" s="1"/>
      <c r="D27" s="1"/>
      <c r="E27" s="1"/>
      <c r="F27" s="1"/>
      <c r="G27" s="1"/>
    </row>
    <row r="28" spans="1:7" ht="24" customHeight="1">
      <c r="A28" s="1"/>
      <c r="B28" s="8"/>
      <c r="C28" s="1"/>
      <c r="D28" s="1"/>
      <c r="E28" s="1"/>
      <c r="F28" s="1"/>
      <c r="G28" s="1"/>
    </row>
    <row r="29" spans="1:7" ht="24" customHeight="1">
      <c r="A29" s="1"/>
      <c r="B29" s="8"/>
      <c r="C29" s="1"/>
      <c r="D29" s="1"/>
      <c r="E29" s="1"/>
      <c r="F29" s="1"/>
      <c r="G29" s="1"/>
    </row>
    <row r="30" spans="1:7" ht="24" customHeight="1">
      <c r="A30" s="1"/>
      <c r="B30" s="8"/>
      <c r="C30" s="1"/>
      <c r="D30" s="1"/>
      <c r="E30" s="1"/>
      <c r="F30" s="1"/>
      <c r="G30" s="1"/>
    </row>
    <row r="31" spans="1:7" ht="24" customHeight="1">
      <c r="A31" s="1"/>
      <c r="B31" s="1"/>
      <c r="C31" s="1"/>
      <c r="D31" s="1"/>
      <c r="E31" s="1"/>
      <c r="F31" s="1"/>
      <c r="G31" s="1"/>
    </row>
    <row r="32" spans="1:7" ht="24" customHeight="1">
      <c r="A32" s="1"/>
      <c r="B32" s="1"/>
      <c r="C32" s="1"/>
      <c r="D32" s="1"/>
      <c r="E32" s="1"/>
      <c r="F32" s="1"/>
      <c r="G32" s="1"/>
    </row>
    <row r="33" spans="1:7" ht="24" customHeight="1">
      <c r="A33" s="1"/>
      <c r="B33" s="1"/>
      <c r="C33" s="1"/>
      <c r="D33" s="1"/>
      <c r="E33" s="1"/>
      <c r="F33" s="1"/>
      <c r="G33" s="1"/>
    </row>
    <row r="34" spans="1:7" ht="24" customHeight="1">
      <c r="A34" s="1"/>
      <c r="B34" s="1"/>
      <c r="C34" s="1"/>
      <c r="D34" s="1"/>
      <c r="E34" s="1"/>
      <c r="F34" s="1"/>
      <c r="G34" s="1"/>
    </row>
    <row r="35" spans="1:7" ht="24" customHeight="1">
      <c r="A35" s="1"/>
      <c r="B35" s="1"/>
      <c r="C35" s="1"/>
      <c r="D35" s="1"/>
      <c r="E35" s="1"/>
      <c r="F35" s="1"/>
      <c r="G35" s="1"/>
    </row>
    <row r="36" spans="1:7" ht="24" customHeight="1">
      <c r="A36" s="1"/>
      <c r="B36" s="1"/>
      <c r="C36" s="1"/>
      <c r="D36" s="1"/>
      <c r="E36" s="1"/>
      <c r="F36" s="1"/>
      <c r="G36" s="1"/>
    </row>
    <row r="37" spans="1:7" ht="24" customHeight="1">
      <c r="A37" s="1"/>
      <c r="B37" s="1"/>
      <c r="C37" s="1"/>
      <c r="D37" s="1"/>
      <c r="E37" s="1"/>
      <c r="F37" s="1"/>
      <c r="G37" s="1"/>
    </row>
    <row r="38" spans="1:7" ht="24" customHeight="1">
      <c r="A38" s="1"/>
      <c r="B38" s="1"/>
      <c r="C38" s="1"/>
      <c r="D38" s="1"/>
      <c r="E38" s="1"/>
      <c r="F38" s="1"/>
      <c r="G38" s="1"/>
    </row>
    <row r="39" spans="1:7" ht="24" customHeight="1">
      <c r="A39" s="1"/>
      <c r="B39" s="1"/>
      <c r="C39" s="1"/>
      <c r="D39" s="1"/>
      <c r="E39" s="1"/>
      <c r="F39" s="1"/>
      <c r="G39" s="1"/>
    </row>
    <row r="40" spans="1:7" ht="24" customHeight="1">
      <c r="A40" s="1"/>
      <c r="B40" s="1"/>
      <c r="C40" s="1"/>
      <c r="D40" s="1"/>
      <c r="E40" s="1"/>
      <c r="F40" s="1"/>
      <c r="G40" s="1"/>
    </row>
    <row r="41" spans="1:7" ht="24" customHeight="1">
      <c r="A41" s="1"/>
      <c r="B41" s="1"/>
      <c r="C41" s="1"/>
      <c r="D41" s="1"/>
      <c r="E41" s="1"/>
      <c r="F41" s="1"/>
      <c r="G41" s="1"/>
    </row>
    <row r="42" spans="1:7" ht="24" customHeight="1">
      <c r="A42" s="1"/>
      <c r="B42" s="1"/>
      <c r="C42" s="1"/>
      <c r="D42" s="1"/>
      <c r="E42" s="1"/>
      <c r="F42" s="1"/>
      <c r="G42" s="1"/>
    </row>
    <row r="43" spans="1:7" ht="24" customHeight="1">
      <c r="A43" s="1"/>
      <c r="B43" s="1"/>
      <c r="C43" s="1"/>
      <c r="D43" s="1"/>
      <c r="E43" s="1"/>
      <c r="F43" s="1"/>
      <c r="G43" s="1"/>
    </row>
    <row r="44" spans="1:7" ht="24" customHeight="1">
      <c r="A44" s="1"/>
      <c r="B44" s="1"/>
      <c r="C44" s="1"/>
      <c r="D44" s="1"/>
      <c r="E44" s="1"/>
      <c r="F44" s="1"/>
      <c r="G44" s="1"/>
    </row>
    <row r="45" spans="1:7" ht="24" customHeight="1">
      <c r="A45" s="1"/>
      <c r="B45" s="1"/>
      <c r="C45" s="1"/>
      <c r="D45" s="1"/>
      <c r="E45" s="1"/>
      <c r="F45" s="1"/>
      <c r="G45" s="1"/>
    </row>
    <row r="46" spans="1:7" ht="24" customHeight="1">
      <c r="A46" s="1"/>
      <c r="B46" s="1"/>
      <c r="C46" s="1"/>
      <c r="D46" s="1"/>
      <c r="E46" s="1"/>
      <c r="F46" s="1"/>
      <c r="G46" s="1"/>
    </row>
    <row r="47" spans="1:7" ht="24" customHeight="1">
      <c r="A47" s="1"/>
      <c r="B47" s="1"/>
      <c r="C47" s="1"/>
      <c r="D47" s="1"/>
      <c r="E47" s="1"/>
      <c r="F47" s="1"/>
      <c r="G47" s="1"/>
    </row>
    <row r="48" spans="1:7" ht="24" customHeight="1">
      <c r="A48" s="1"/>
      <c r="B48" s="1"/>
      <c r="C48" s="1"/>
      <c r="D48" s="1"/>
      <c r="E48" s="1"/>
      <c r="F48" s="1"/>
      <c r="G48" s="1"/>
    </row>
    <row r="49" spans="1:7" ht="24" customHeight="1">
      <c r="A49" s="1"/>
      <c r="B49" s="1"/>
      <c r="C49" s="1"/>
      <c r="D49" s="1"/>
      <c r="E49" s="1"/>
      <c r="F49" s="1"/>
      <c r="G49" s="1"/>
    </row>
    <row r="50" spans="1:7" ht="24" customHeight="1">
      <c r="A50" s="1"/>
      <c r="B50" s="1"/>
      <c r="C50" s="1"/>
      <c r="D50" s="1"/>
      <c r="E50" s="1"/>
      <c r="F50" s="1"/>
      <c r="G50" s="1"/>
    </row>
    <row r="51" spans="1:7" ht="24" customHeight="1">
      <c r="A51" s="1"/>
      <c r="B51" s="1"/>
      <c r="C51" s="1"/>
      <c r="D51" s="1"/>
      <c r="E51" s="1"/>
      <c r="F51" s="1"/>
      <c r="G51" s="1"/>
    </row>
    <row r="52" spans="1:7" ht="24" customHeight="1">
      <c r="A52" s="1"/>
      <c r="B52" s="1"/>
      <c r="C52" s="1"/>
      <c r="D52" s="1"/>
      <c r="E52" s="1"/>
      <c r="F52" s="1"/>
      <c r="G52" s="1"/>
    </row>
    <row r="53" spans="1:7" ht="24" customHeight="1">
      <c r="A53" s="1"/>
      <c r="B53" s="1"/>
      <c r="C53" s="1"/>
      <c r="D53" s="1"/>
      <c r="E53" s="1"/>
      <c r="F53" s="1"/>
      <c r="G53" s="1"/>
    </row>
    <row r="54" spans="1:7" ht="24" customHeight="1">
      <c r="A54" s="1"/>
      <c r="B54" s="1"/>
      <c r="C54" s="1"/>
      <c r="D54" s="1"/>
      <c r="E54" s="1"/>
      <c r="F54" s="1"/>
      <c r="G54" s="1"/>
    </row>
    <row r="55" spans="1:7" ht="24" customHeight="1">
      <c r="A55" s="1"/>
      <c r="B55" s="1"/>
      <c r="C55" s="1"/>
      <c r="D55" s="1"/>
      <c r="E55" s="1"/>
      <c r="F55" s="1"/>
      <c r="G55" s="1"/>
    </row>
  </sheetData>
  <mergeCells count="3">
    <mergeCell ref="B2:G2"/>
    <mergeCell ref="B4:G4"/>
    <mergeCell ref="B5:G5"/>
  </mergeCells>
  <conditionalFormatting sqref="F9:F26">
    <cfRule type="cellIs" dxfId="83" priority="1" operator="equal">
      <formula>"ĐANG LÀM"</formula>
    </cfRule>
    <cfRule type="cellIs" dxfId="82" priority="2" operator="equal">
      <formula>"XONG"</formula>
    </cfRule>
    <cfRule type="cellIs" dxfId="81" priority="3" operator="equal">
      <formula>"PASS"</formula>
    </cfRule>
    <cfRule type="cellIs" dxfId="80" priority="4" operator="equal">
      <formula>"ĐÃ GIẢI QUYẾT"</formula>
    </cfRule>
    <cfRule type="cellIs" dxfId="79" priority="5" operator="equal">
      <formula>"BỊ CHẶN"</formula>
    </cfRule>
    <cfRule type="cellIs" dxfId="78" priority="6" operator="equal">
      <formula>"FAIL"</formula>
    </cfRule>
    <cfRule type="cellIs" dxfId="77" priority="7" operator="equal">
      <formula>"CHỜ"</formula>
    </cfRule>
    <cfRule type="cellIs" dxfId="76" priority="8" operator="equal">
      <formula>"CHỜ CHẠY"</formula>
    </cfRule>
    <cfRule type="cellIs" dxfId="75" priority="9" operator="equal">
      <formula>"MỞ"</formula>
    </cfRule>
    <cfRule type="cellIs" dxfId="74" priority="10" operator="equal">
      <formula>"TẠM HOÃN"</formula>
    </cfRule>
    <cfRule type="cellIs" dxfId="73" priority="11" operator="equal">
      <formula>"CHƯA LÀM"</formula>
    </cfRule>
    <cfRule type="cellIs" dxfId="72" priority="12" operator="equal">
      <formula>"PASS LỊCH SỬ"</formula>
    </cfRule>
    <cfRule type="cellIs" dxfId="71" priority="13" operator="equal">
      <formula>"TÌM THẤY / CHỜ CHẠY LẠI"</formula>
    </cfRule>
  </conditionalFormatting>
  <hyperlinks>
    <hyperlink ref="G1" location="'01_Muc_luc'!A1" display="← Mục lục" xr:uid="{7A73E8BD-B7FD-40D6-943A-D562E934C672}"/>
  </hyperlinks>
  <pageMargins left="0.30555555555555558" right="0.30555555555555558" top="0.30555555555555558" bottom="0.30555555555555558" header="0.3" footer="0.3"/>
  <pageSetup paperSize="8" scale="7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EBDB2"/>
    <pageSetUpPr fitToPage="1"/>
  </sheetPr>
  <dimension ref="A1:H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4.5" customWidth="1"/>
    <col min="3" max="3" width="16.59765625" customWidth="1"/>
    <col min="4" max="4" width="40" customWidth="1"/>
    <col min="5" max="5" width="36.19921875" customWidth="1"/>
    <col min="6" max="6" width="12.5" customWidth="1"/>
    <col min="7" max="7" width="16.19921875" customWidth="1"/>
    <col min="8" max="8" width="14.3984375" customWidth="1"/>
  </cols>
  <sheetData>
    <row r="1" spans="1:8" ht="24" customHeight="1">
      <c r="A1" s="1"/>
      <c r="B1" s="1"/>
      <c r="C1" s="1"/>
      <c r="D1" s="1"/>
      <c r="E1" s="1"/>
      <c r="F1" s="1"/>
      <c r="G1" s="1"/>
      <c r="H1" s="10" t="s">
        <v>572</v>
      </c>
    </row>
    <row r="2" spans="1:8" ht="24" customHeight="1">
      <c r="A2" s="1"/>
      <c r="B2" s="16" t="s">
        <v>171</v>
      </c>
      <c r="C2" s="16"/>
      <c r="D2" s="16"/>
      <c r="E2" s="16"/>
      <c r="F2" s="16"/>
      <c r="G2" s="16"/>
      <c r="H2" s="16"/>
    </row>
    <row r="3" spans="1:8" ht="24" customHeight="1">
      <c r="A3" s="1"/>
      <c r="B3" s="1"/>
      <c r="C3" s="1"/>
      <c r="D3" s="1"/>
      <c r="E3" s="1"/>
      <c r="F3" s="1"/>
      <c r="G3" s="1"/>
      <c r="H3" s="1"/>
    </row>
    <row r="4" spans="1:8" ht="39" customHeight="1">
      <c r="A4" s="1"/>
      <c r="B4" s="17" t="s">
        <v>44</v>
      </c>
      <c r="C4" s="17"/>
      <c r="D4" s="17"/>
      <c r="E4" s="17"/>
      <c r="F4" s="17"/>
      <c r="G4" s="17"/>
      <c r="H4" s="17"/>
    </row>
    <row r="5" spans="1:8" ht="30" customHeight="1">
      <c r="A5" s="1"/>
      <c r="B5" s="11" t="s">
        <v>234</v>
      </c>
      <c r="C5" s="11"/>
      <c r="D5" s="11"/>
      <c r="E5" s="11"/>
      <c r="F5" s="11"/>
      <c r="G5" s="11"/>
      <c r="H5" s="11"/>
    </row>
    <row r="6" spans="1:8" ht="10.050000000000001" customHeight="1">
      <c r="A6" s="1"/>
      <c r="B6" s="2"/>
      <c r="C6" s="2"/>
      <c r="D6" s="2"/>
      <c r="E6" s="2"/>
      <c r="F6" s="2"/>
      <c r="G6" s="2"/>
      <c r="H6" s="2"/>
    </row>
    <row r="7" spans="1:8" ht="12" customHeight="1">
      <c r="A7" s="1"/>
      <c r="B7" s="1"/>
      <c r="C7" s="1"/>
      <c r="D7" s="1"/>
      <c r="E7" s="1"/>
      <c r="F7" s="1"/>
      <c r="G7" s="1"/>
      <c r="H7" s="1"/>
    </row>
    <row r="8" spans="1:8" ht="31.05" customHeight="1">
      <c r="A8" s="1"/>
      <c r="B8" s="3" t="s">
        <v>235</v>
      </c>
      <c r="C8" s="3" t="s">
        <v>109</v>
      </c>
      <c r="D8" s="3" t="s">
        <v>236</v>
      </c>
      <c r="E8" s="3" t="s">
        <v>237</v>
      </c>
      <c r="F8" s="3" t="s">
        <v>68</v>
      </c>
      <c r="G8" s="3" t="s">
        <v>71</v>
      </c>
      <c r="H8" s="3" t="s">
        <v>110</v>
      </c>
    </row>
    <row r="9" spans="1:8" ht="46.05" customHeight="1">
      <c r="A9" s="1"/>
      <c r="B9" s="7">
        <v>1</v>
      </c>
      <c r="C9" s="2" t="s">
        <v>113</v>
      </c>
      <c r="D9" s="2" t="s">
        <v>238</v>
      </c>
      <c r="E9" s="2" t="s">
        <v>239</v>
      </c>
      <c r="F9" s="2" t="s">
        <v>75</v>
      </c>
      <c r="G9" s="7" t="str">
        <f>VLOOKUP("P1-T001",'02_Cong_viec'!$B$9:$F$204,5,FALSE)</f>
        <v>ĐANG LÀM</v>
      </c>
      <c r="H9" s="2"/>
    </row>
    <row r="10" spans="1:8" ht="46.05" customHeight="1">
      <c r="A10" s="1"/>
      <c r="B10" s="7">
        <v>2</v>
      </c>
      <c r="C10" s="2" t="s">
        <v>113</v>
      </c>
      <c r="D10" s="2" t="s">
        <v>240</v>
      </c>
      <c r="E10" s="2" t="s">
        <v>241</v>
      </c>
      <c r="F10" s="2" t="s">
        <v>80</v>
      </c>
      <c r="G10" s="7" t="str">
        <f>VLOOKUP("P1-T002",'02_Cong_viec'!$B$9:$F$204,5,FALSE)</f>
        <v>CHỜ</v>
      </c>
      <c r="H10" s="2" t="s">
        <v>242</v>
      </c>
    </row>
    <row r="11" spans="1:8" ht="46.05" customHeight="1">
      <c r="A11" s="1"/>
      <c r="B11" s="7">
        <v>3</v>
      </c>
      <c r="C11" s="2" t="s">
        <v>113</v>
      </c>
      <c r="D11" s="2" t="s">
        <v>243</v>
      </c>
      <c r="E11" s="2" t="s">
        <v>244</v>
      </c>
      <c r="F11" s="2" t="s">
        <v>83</v>
      </c>
      <c r="G11" s="7" t="str">
        <f>VLOOKUP("P1-T003",'02_Cong_viec'!$B$9:$F$204,5,FALSE)</f>
        <v>CHỜ</v>
      </c>
      <c r="H11" s="2" t="s">
        <v>242</v>
      </c>
    </row>
    <row r="12" spans="1:8" ht="46.05" customHeight="1">
      <c r="A12" s="1"/>
      <c r="B12" s="7">
        <v>4</v>
      </c>
      <c r="C12" s="2" t="s">
        <v>245</v>
      </c>
      <c r="D12" s="2" t="s">
        <v>246</v>
      </c>
      <c r="E12" s="2" t="s">
        <v>247</v>
      </c>
      <c r="F12" s="2" t="s">
        <v>85</v>
      </c>
      <c r="G12" s="7" t="str">
        <f>VLOOKUP("P1-T004",'02_Cong_viec'!$B$9:$F$204,5,FALSE)</f>
        <v>CHỜ</v>
      </c>
      <c r="H12" s="2"/>
    </row>
    <row r="13" spans="1:8" ht="46.05" customHeight="1">
      <c r="A13" s="1"/>
      <c r="B13" s="7">
        <v>5</v>
      </c>
      <c r="C13" s="2" t="s">
        <v>148</v>
      </c>
      <c r="D13" s="2" t="s">
        <v>248</v>
      </c>
      <c r="E13" s="2" t="s">
        <v>249</v>
      </c>
      <c r="F13" s="2" t="s">
        <v>87</v>
      </c>
      <c r="G13" s="7" t="str">
        <f>VLOOKUP("P1-T005",'02_Cong_viec'!$B$9:$F$204,5,FALSE)</f>
        <v>BỊ CHẶN</v>
      </c>
      <c r="H13" s="2"/>
    </row>
    <row r="14" spans="1:8" ht="46.05" customHeight="1">
      <c r="A14" s="1"/>
      <c r="B14" s="7">
        <v>6</v>
      </c>
      <c r="C14" s="2" t="s">
        <v>148</v>
      </c>
      <c r="D14" s="2" t="s">
        <v>250</v>
      </c>
      <c r="E14" s="2" t="s">
        <v>251</v>
      </c>
      <c r="F14" s="2" t="s">
        <v>90</v>
      </c>
      <c r="G14" s="7" t="str">
        <f>VLOOKUP("P1-T006",'02_Cong_viec'!$B$9:$F$204,5,FALSE)</f>
        <v>BỊ CHẶN</v>
      </c>
      <c r="H14" s="2" t="s">
        <v>252</v>
      </c>
    </row>
    <row r="15" spans="1:8" ht="46.05" customHeight="1">
      <c r="A15" s="1"/>
      <c r="B15" s="7">
        <v>7</v>
      </c>
      <c r="C15" s="2" t="s">
        <v>125</v>
      </c>
      <c r="D15" s="2" t="s">
        <v>253</v>
      </c>
      <c r="E15" s="2" t="s">
        <v>254</v>
      </c>
      <c r="F15" s="2" t="s">
        <v>92</v>
      </c>
      <c r="G15" s="7" t="str">
        <f>VLOOKUP("P1-T007",'02_Cong_viec'!$B$9:$F$204,5,FALSE)</f>
        <v>BỊ CHẶN</v>
      </c>
      <c r="H15" s="2" t="s">
        <v>255</v>
      </c>
    </row>
    <row r="16" spans="1:8" ht="46.05" customHeight="1">
      <c r="A16" s="1"/>
      <c r="B16" s="7">
        <v>8</v>
      </c>
      <c r="C16" s="2" t="s">
        <v>127</v>
      </c>
      <c r="D16" s="2" t="s">
        <v>256</v>
      </c>
      <c r="E16" s="2" t="s">
        <v>257</v>
      </c>
      <c r="F16" s="2" t="s">
        <v>94</v>
      </c>
      <c r="G16" s="7" t="str">
        <f>VLOOKUP("P1-T008",'02_Cong_viec'!$B$9:$F$204,5,FALSE)</f>
        <v>BỊ CHẶN</v>
      </c>
      <c r="H16" s="2"/>
    </row>
    <row r="17" spans="1:8" ht="46.05" customHeight="1">
      <c r="A17" s="1"/>
      <c r="B17" s="7">
        <v>9</v>
      </c>
      <c r="C17" s="2" t="s">
        <v>129</v>
      </c>
      <c r="D17" s="2" t="s">
        <v>258</v>
      </c>
      <c r="E17" s="2" t="s">
        <v>259</v>
      </c>
      <c r="F17" s="2" t="s">
        <v>96</v>
      </c>
      <c r="G17" s="7" t="str">
        <f>VLOOKUP("P1-T009",'02_Cong_viec'!$B$9:$F$204,5,FALSE)</f>
        <v>BỊ CHẶN</v>
      </c>
      <c r="H17" s="2" t="s">
        <v>260</v>
      </c>
    </row>
    <row r="18" spans="1:8" ht="46.05" customHeight="1">
      <c r="A18" s="1"/>
      <c r="B18" s="7">
        <v>10</v>
      </c>
      <c r="C18" s="2" t="s">
        <v>131</v>
      </c>
      <c r="D18" s="2" t="s">
        <v>261</v>
      </c>
      <c r="E18" s="2" t="s">
        <v>262</v>
      </c>
      <c r="F18" s="2" t="s">
        <v>98</v>
      </c>
      <c r="G18" s="7" t="str">
        <f>VLOOKUP("P1-T010",'02_Cong_viec'!$B$9:$F$204,5,FALSE)</f>
        <v>BỊ CHẶN</v>
      </c>
      <c r="H18" s="2" t="s">
        <v>260</v>
      </c>
    </row>
    <row r="19" spans="1:8" ht="46.05" customHeight="1">
      <c r="A19" s="1"/>
      <c r="B19" s="7">
        <v>11</v>
      </c>
      <c r="C19" s="2" t="s">
        <v>133</v>
      </c>
      <c r="D19" s="2" t="s">
        <v>263</v>
      </c>
      <c r="E19" s="2" t="s">
        <v>264</v>
      </c>
      <c r="F19" s="2" t="s">
        <v>100</v>
      </c>
      <c r="G19" s="7" t="str">
        <f>VLOOKUP("P1-T011",'02_Cong_viec'!$B$9:$F$204,5,FALSE)</f>
        <v>BỊ CHẶN</v>
      </c>
      <c r="H19" s="2"/>
    </row>
    <row r="20" spans="1:8" ht="46.05" customHeight="1">
      <c r="A20" s="1"/>
      <c r="B20" s="7">
        <v>12</v>
      </c>
      <c r="C20" s="2" t="s">
        <v>265</v>
      </c>
      <c r="D20" s="2" t="s">
        <v>266</v>
      </c>
      <c r="E20" s="2" t="s">
        <v>267</v>
      </c>
      <c r="F20" s="2" t="s">
        <v>102</v>
      </c>
      <c r="G20" s="7" t="str">
        <f>VLOOKUP("P1-T012",'02_Cong_viec'!$B$9:$F$204,5,FALSE)</f>
        <v>BỊ CHẶN</v>
      </c>
      <c r="H20" s="2" t="s">
        <v>268</v>
      </c>
    </row>
    <row r="21" spans="1:8" ht="24" customHeight="1">
      <c r="A21" s="1"/>
      <c r="B21" s="8"/>
      <c r="C21" s="1"/>
      <c r="D21" s="1"/>
      <c r="E21" s="1"/>
      <c r="F21" s="1"/>
      <c r="G21" s="1"/>
      <c r="H21" s="1"/>
    </row>
    <row r="22" spans="1:8" ht="24" customHeight="1">
      <c r="A22" s="1"/>
      <c r="B22" s="8"/>
      <c r="C22" s="1"/>
      <c r="D22" s="1"/>
      <c r="E22" s="1"/>
      <c r="F22" s="1"/>
      <c r="G22" s="1"/>
      <c r="H22" s="1"/>
    </row>
    <row r="23" spans="1:8" ht="24" customHeight="1">
      <c r="A23" s="1"/>
      <c r="B23" s="8"/>
      <c r="C23" s="1"/>
      <c r="D23" s="1"/>
      <c r="E23" s="1"/>
      <c r="F23" s="1"/>
      <c r="G23" s="1"/>
      <c r="H23" s="1"/>
    </row>
    <row r="24" spans="1:8" ht="24" customHeight="1">
      <c r="A24" s="1"/>
      <c r="B24" s="8"/>
      <c r="C24" s="1"/>
      <c r="D24" s="1"/>
      <c r="E24" s="1"/>
      <c r="F24" s="1"/>
      <c r="G24" s="1"/>
      <c r="H24" s="1"/>
    </row>
    <row r="25" spans="1:8" ht="24" customHeight="1">
      <c r="A25" s="1"/>
      <c r="B25" s="8"/>
      <c r="C25" s="1"/>
      <c r="D25" s="1"/>
      <c r="E25" s="1"/>
      <c r="F25" s="1"/>
      <c r="G25" s="1"/>
      <c r="H25" s="1"/>
    </row>
    <row r="26" spans="1:8" ht="24" customHeight="1">
      <c r="A26" s="1"/>
      <c r="B26" s="8"/>
      <c r="C26" s="1"/>
      <c r="D26" s="1"/>
      <c r="E26" s="1"/>
      <c r="F26" s="1"/>
      <c r="G26" s="1"/>
      <c r="H26" s="1"/>
    </row>
    <row r="27" spans="1:8" ht="24" customHeight="1">
      <c r="A27" s="1"/>
      <c r="B27" s="8"/>
      <c r="C27" s="1"/>
      <c r="D27" s="1"/>
      <c r="E27" s="1"/>
      <c r="F27" s="1"/>
      <c r="G27" s="1"/>
      <c r="H27" s="1"/>
    </row>
    <row r="28" spans="1:8" ht="24" customHeight="1">
      <c r="A28" s="1"/>
      <c r="B28" s="8"/>
      <c r="C28" s="1"/>
      <c r="D28" s="1"/>
      <c r="E28" s="1"/>
      <c r="F28" s="1"/>
      <c r="G28" s="1"/>
      <c r="H28" s="1"/>
    </row>
    <row r="29" spans="1:8" ht="24" customHeight="1">
      <c r="A29" s="1"/>
      <c r="B29" s="8"/>
      <c r="C29" s="1"/>
      <c r="D29" s="1"/>
      <c r="E29" s="1"/>
      <c r="F29" s="1"/>
      <c r="G29" s="1"/>
      <c r="H29" s="1"/>
    </row>
    <row r="30" spans="1:8" ht="24" customHeight="1">
      <c r="A30" s="1"/>
      <c r="B30" s="8"/>
      <c r="C30" s="1"/>
      <c r="D30" s="1"/>
      <c r="E30" s="1"/>
      <c r="F30" s="1"/>
      <c r="G30" s="1"/>
      <c r="H30" s="1"/>
    </row>
    <row r="31" spans="1:8" ht="24" customHeight="1">
      <c r="A31" s="1"/>
      <c r="B31" s="1"/>
      <c r="C31" s="1"/>
      <c r="D31" s="1"/>
      <c r="E31" s="1"/>
      <c r="F31" s="1"/>
      <c r="G31" s="1"/>
      <c r="H31" s="1"/>
    </row>
    <row r="32" spans="1:8" ht="24" customHeight="1">
      <c r="A32" s="1"/>
      <c r="B32" s="1"/>
      <c r="C32" s="1"/>
      <c r="D32" s="1"/>
      <c r="E32" s="1"/>
      <c r="F32" s="1"/>
      <c r="G32" s="1"/>
      <c r="H32" s="1"/>
    </row>
    <row r="33" spans="1:8" ht="24" customHeight="1">
      <c r="A33" s="1"/>
      <c r="B33" s="1"/>
      <c r="C33" s="1"/>
      <c r="D33" s="1"/>
      <c r="E33" s="1"/>
      <c r="F33" s="1"/>
      <c r="G33" s="1"/>
      <c r="H33" s="1"/>
    </row>
    <row r="34" spans="1:8" ht="24" customHeight="1">
      <c r="A34" s="1"/>
      <c r="B34" s="1"/>
      <c r="C34" s="1"/>
      <c r="D34" s="1"/>
      <c r="E34" s="1"/>
      <c r="F34" s="1"/>
      <c r="G34" s="1"/>
      <c r="H34" s="1"/>
    </row>
    <row r="35" spans="1:8" ht="24" customHeight="1">
      <c r="A35" s="1"/>
      <c r="B35" s="1"/>
      <c r="C35" s="1"/>
      <c r="D35" s="1"/>
      <c r="E35" s="1"/>
      <c r="F35" s="1"/>
      <c r="G35" s="1"/>
      <c r="H35" s="1"/>
    </row>
    <row r="36" spans="1:8" ht="24" customHeight="1">
      <c r="A36" s="1"/>
      <c r="B36" s="1"/>
      <c r="C36" s="1"/>
      <c r="D36" s="1"/>
      <c r="E36" s="1"/>
      <c r="F36" s="1"/>
      <c r="G36" s="1"/>
      <c r="H36" s="1"/>
    </row>
    <row r="37" spans="1:8" ht="24" customHeight="1">
      <c r="A37" s="1"/>
      <c r="B37" s="1"/>
      <c r="C37" s="1"/>
      <c r="D37" s="1"/>
      <c r="E37" s="1"/>
      <c r="F37" s="1"/>
      <c r="G37" s="1"/>
      <c r="H37" s="1"/>
    </row>
    <row r="38" spans="1:8" ht="24" customHeight="1">
      <c r="A38" s="1"/>
      <c r="B38" s="1"/>
      <c r="C38" s="1"/>
      <c r="D38" s="1"/>
      <c r="E38" s="1"/>
      <c r="F38" s="1"/>
      <c r="G38" s="1"/>
      <c r="H38" s="1"/>
    </row>
    <row r="39" spans="1:8" ht="24" customHeight="1">
      <c r="A39" s="1"/>
      <c r="B39" s="1"/>
      <c r="C39" s="1"/>
      <c r="D39" s="1"/>
      <c r="E39" s="1"/>
      <c r="F39" s="1"/>
      <c r="G39" s="1"/>
      <c r="H39" s="1"/>
    </row>
    <row r="40" spans="1:8" ht="24" customHeight="1">
      <c r="A40" s="1"/>
      <c r="B40" s="1"/>
      <c r="C40" s="1"/>
      <c r="D40" s="1"/>
      <c r="E40" s="1"/>
      <c r="F40" s="1"/>
      <c r="G40" s="1"/>
      <c r="H40" s="1"/>
    </row>
    <row r="41" spans="1:8" ht="24" customHeight="1">
      <c r="A41" s="1"/>
      <c r="B41" s="1"/>
      <c r="C41" s="1"/>
      <c r="D41" s="1"/>
      <c r="E41" s="1"/>
      <c r="F41" s="1"/>
      <c r="G41" s="1"/>
      <c r="H41" s="1"/>
    </row>
    <row r="42" spans="1:8" ht="24" customHeight="1">
      <c r="A42" s="1"/>
      <c r="B42" s="1"/>
      <c r="C42" s="1"/>
      <c r="D42" s="1"/>
      <c r="E42" s="1"/>
      <c r="F42" s="1"/>
      <c r="G42" s="1"/>
      <c r="H42" s="1"/>
    </row>
    <row r="43" spans="1:8" ht="24" customHeight="1">
      <c r="A43" s="1"/>
      <c r="B43" s="1"/>
      <c r="C43" s="1"/>
      <c r="D43" s="1"/>
      <c r="E43" s="1"/>
      <c r="F43" s="1"/>
      <c r="G43" s="1"/>
      <c r="H43" s="1"/>
    </row>
    <row r="44" spans="1:8" ht="24" customHeight="1">
      <c r="A44" s="1"/>
      <c r="B44" s="1"/>
      <c r="C44" s="1"/>
      <c r="D44" s="1"/>
      <c r="E44" s="1"/>
      <c r="F44" s="1"/>
      <c r="G44" s="1"/>
      <c r="H44" s="1"/>
    </row>
    <row r="45" spans="1:8" ht="24" customHeight="1">
      <c r="A45" s="1"/>
      <c r="B45" s="1"/>
      <c r="C45" s="1"/>
      <c r="D45" s="1"/>
      <c r="E45" s="1"/>
      <c r="F45" s="1"/>
      <c r="G45" s="1"/>
      <c r="H45" s="1"/>
    </row>
    <row r="46" spans="1:8" ht="24" customHeight="1">
      <c r="A46" s="1"/>
      <c r="B46" s="1"/>
      <c r="C46" s="1"/>
      <c r="D46" s="1"/>
      <c r="E46" s="1"/>
      <c r="F46" s="1"/>
      <c r="G46" s="1"/>
      <c r="H46" s="1"/>
    </row>
    <row r="47" spans="1:8" ht="24" customHeight="1">
      <c r="A47" s="1"/>
      <c r="B47" s="1"/>
      <c r="C47" s="1"/>
      <c r="D47" s="1"/>
      <c r="E47" s="1"/>
      <c r="F47" s="1"/>
      <c r="G47" s="1"/>
      <c r="H47" s="1"/>
    </row>
    <row r="48" spans="1:8" ht="24" customHeight="1">
      <c r="A48" s="1"/>
      <c r="B48" s="1"/>
      <c r="C48" s="1"/>
      <c r="D48" s="1"/>
      <c r="E48" s="1"/>
      <c r="F48" s="1"/>
      <c r="G48" s="1"/>
      <c r="H48" s="1"/>
    </row>
    <row r="49" spans="1:8" ht="24" customHeight="1">
      <c r="A49" s="1"/>
      <c r="B49" s="1"/>
      <c r="C49" s="1"/>
      <c r="D49" s="1"/>
      <c r="E49" s="1"/>
      <c r="F49" s="1"/>
      <c r="G49" s="1"/>
      <c r="H49" s="1"/>
    </row>
    <row r="50" spans="1:8" ht="24" customHeight="1">
      <c r="A50" s="1"/>
      <c r="B50" s="1"/>
      <c r="C50" s="1"/>
      <c r="D50" s="1"/>
      <c r="E50" s="1"/>
      <c r="F50" s="1"/>
      <c r="G50" s="1"/>
      <c r="H50" s="1"/>
    </row>
    <row r="51" spans="1:8" ht="24" customHeight="1">
      <c r="A51" s="1"/>
      <c r="B51" s="1"/>
      <c r="C51" s="1"/>
      <c r="D51" s="1"/>
      <c r="E51" s="1"/>
      <c r="F51" s="1"/>
      <c r="G51" s="1"/>
      <c r="H51" s="1"/>
    </row>
    <row r="52" spans="1:8" ht="24" customHeight="1">
      <c r="A52" s="1"/>
      <c r="B52" s="1"/>
      <c r="C52" s="1"/>
      <c r="D52" s="1"/>
      <c r="E52" s="1"/>
      <c r="F52" s="1"/>
      <c r="G52" s="1"/>
      <c r="H52" s="1"/>
    </row>
    <row r="53" spans="1:8" ht="24" customHeight="1">
      <c r="A53" s="1"/>
      <c r="B53" s="1"/>
      <c r="C53" s="1"/>
      <c r="D53" s="1"/>
      <c r="E53" s="1"/>
      <c r="F53" s="1"/>
      <c r="G53" s="1"/>
      <c r="H53" s="1"/>
    </row>
    <row r="54" spans="1:8" ht="24" customHeight="1">
      <c r="A54" s="1"/>
      <c r="B54" s="1"/>
      <c r="C54" s="1"/>
      <c r="D54" s="1"/>
      <c r="E54" s="1"/>
      <c r="F54" s="1"/>
      <c r="G54" s="1"/>
      <c r="H54" s="1"/>
    </row>
    <row r="55" spans="1:8" ht="24" customHeight="1">
      <c r="A55" s="1"/>
      <c r="B55" s="1"/>
      <c r="C55" s="1"/>
      <c r="D55" s="1"/>
      <c r="E55" s="1"/>
      <c r="F55" s="1"/>
      <c r="G55" s="1"/>
      <c r="H55" s="1"/>
    </row>
  </sheetData>
  <mergeCells count="3">
    <mergeCell ref="B2:H2"/>
    <mergeCell ref="B4:H4"/>
    <mergeCell ref="B5:H5"/>
  </mergeCells>
  <conditionalFormatting sqref="G9:G20">
    <cfRule type="cellIs" dxfId="70" priority="1" operator="equal">
      <formula>"ĐANG LÀM"</formula>
    </cfRule>
    <cfRule type="cellIs" dxfId="69" priority="2" operator="equal">
      <formula>"XONG"</formula>
    </cfRule>
    <cfRule type="cellIs" dxfId="68" priority="3" operator="equal">
      <formula>"PASS"</formula>
    </cfRule>
    <cfRule type="cellIs" dxfId="67" priority="4" operator="equal">
      <formula>"ĐÃ GIẢI QUYẾT"</formula>
    </cfRule>
    <cfRule type="cellIs" dxfId="66" priority="5" operator="equal">
      <formula>"BỊ CHẶN"</formula>
    </cfRule>
    <cfRule type="cellIs" dxfId="65" priority="6" operator="equal">
      <formula>"FAIL"</formula>
    </cfRule>
    <cfRule type="cellIs" dxfId="64" priority="7" operator="equal">
      <formula>"CHỜ"</formula>
    </cfRule>
    <cfRule type="cellIs" dxfId="63" priority="8" operator="equal">
      <formula>"CHỜ CHẠY"</formula>
    </cfRule>
    <cfRule type="cellIs" dxfId="62" priority="9" operator="equal">
      <formula>"MỞ"</formula>
    </cfRule>
    <cfRule type="cellIs" dxfId="61" priority="10" operator="equal">
      <formula>"TẠM HOÃN"</formula>
    </cfRule>
    <cfRule type="cellIs" dxfId="60" priority="11" operator="equal">
      <formula>"CHƯA LÀM"</formula>
    </cfRule>
    <cfRule type="cellIs" dxfId="59" priority="12" operator="equal">
      <formula>"PASS LỊCH SỬ"</formula>
    </cfRule>
    <cfRule type="cellIs" dxfId="58" priority="13" operator="equal">
      <formula>"TÌM THẤY / CHỜ CHẠY LẠI"</formula>
    </cfRule>
  </conditionalFormatting>
  <hyperlinks>
    <hyperlink ref="H1" location="'01_Muc_luc'!A1" display="← Mục lục" xr:uid="{D2E84CF6-501F-42B7-9CD3-266575585575}"/>
  </hyperlinks>
  <pageMargins left="0.30555555555555558" right="0.30555555555555558" top="0.30555555555555558" bottom="0.30555555555555558" header="0.3" footer="0.3"/>
  <pageSetup paperSize="8" scale="95"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EBDB2"/>
    <pageSetUpPr fitToPage="1"/>
  </sheetPr>
  <dimension ref="A1:D55"/>
  <sheetViews>
    <sheetView showGridLines="0" showRowColHeaders="0" zoomScaleNormal="100" workbookViewId="0"/>
  </sheetViews>
  <sheetFormatPr defaultRowHeight="13.8"/>
  <cols>
    <col min="1" max="1" width="3.5" customWidth="1"/>
    <col min="2" max="2" width="5" customWidth="1"/>
    <col min="3" max="3" width="34.3984375" customWidth="1"/>
    <col min="4" max="4" width="94.3984375" customWidth="1"/>
  </cols>
  <sheetData>
    <row r="1" spans="1:4" ht="24" customHeight="1">
      <c r="A1" s="1"/>
      <c r="B1" s="1"/>
      <c r="C1" s="1"/>
      <c r="D1" s="10" t="s">
        <v>572</v>
      </c>
    </row>
    <row r="2" spans="1:4" ht="24" customHeight="1">
      <c r="A2" s="1"/>
      <c r="B2" s="16" t="s">
        <v>269</v>
      </c>
      <c r="C2" s="16"/>
      <c r="D2" s="16"/>
    </row>
    <row r="3" spans="1:4" ht="24" customHeight="1">
      <c r="A3" s="1"/>
      <c r="B3" s="1"/>
      <c r="C3" s="1"/>
      <c r="D3" s="1"/>
    </row>
    <row r="4" spans="1:4" ht="39" customHeight="1">
      <c r="A4" s="1"/>
      <c r="B4" s="17" t="s">
        <v>26</v>
      </c>
      <c r="C4" s="17"/>
      <c r="D4" s="17"/>
    </row>
    <row r="5" spans="1:4" ht="30" customHeight="1">
      <c r="A5" s="1"/>
      <c r="B5" s="11" t="s">
        <v>270</v>
      </c>
      <c r="C5" s="11"/>
      <c r="D5" s="11"/>
    </row>
    <row r="6" spans="1:4" ht="10.050000000000001" customHeight="1">
      <c r="A6" s="1"/>
      <c r="B6" s="2"/>
      <c r="C6" s="2"/>
      <c r="D6" s="2"/>
    </row>
    <row r="7" spans="1:4" ht="12" customHeight="1">
      <c r="A7" s="1"/>
      <c r="B7" s="1"/>
      <c r="C7" s="1"/>
      <c r="D7" s="1"/>
    </row>
    <row r="8" spans="1:4" ht="24" customHeight="1">
      <c r="A8" s="1"/>
      <c r="B8" s="27" t="s">
        <v>271</v>
      </c>
      <c r="C8" s="27"/>
      <c r="D8" s="27"/>
    </row>
    <row r="9" spans="1:4" ht="24" customHeight="1">
      <c r="A9" s="1"/>
      <c r="B9" s="27"/>
      <c r="C9" s="27"/>
      <c r="D9" s="27"/>
    </row>
    <row r="10" spans="1:4" ht="24" customHeight="1">
      <c r="A10" s="1"/>
      <c r="B10" s="27"/>
      <c r="C10" s="27"/>
      <c r="D10" s="27"/>
    </row>
    <row r="11" spans="1:4" ht="24" customHeight="1">
      <c r="A11" s="1"/>
      <c r="B11" s="27"/>
      <c r="C11" s="27"/>
      <c r="D11" s="27"/>
    </row>
    <row r="12" spans="1:4" ht="24" customHeight="1">
      <c r="A12" s="1"/>
      <c r="B12" s="1"/>
      <c r="C12" s="1"/>
      <c r="D12" s="1"/>
    </row>
    <row r="13" spans="1:4" ht="24" customHeight="1">
      <c r="A13" s="1"/>
      <c r="B13" s="1"/>
      <c r="C13" s="1"/>
      <c r="D13" s="1"/>
    </row>
    <row r="14" spans="1:4" ht="24" customHeight="1">
      <c r="A14" s="1"/>
      <c r="B14" s="20" t="s">
        <v>272</v>
      </c>
      <c r="C14" s="20"/>
      <c r="D14" s="20"/>
    </row>
    <row r="15" spans="1:4" ht="24" customHeight="1">
      <c r="A15" s="1"/>
      <c r="B15" s="1"/>
      <c r="C15" s="1"/>
      <c r="D15" s="1"/>
    </row>
    <row r="16" spans="1:4" ht="24" customHeight="1">
      <c r="A16" s="1"/>
      <c r="B16" s="22" t="s">
        <v>273</v>
      </c>
      <c r="C16" s="24" t="s">
        <v>274</v>
      </c>
      <c r="D16" s="21" t="s">
        <v>275</v>
      </c>
    </row>
    <row r="17" spans="1:4" ht="24" customHeight="1">
      <c r="A17" s="1"/>
      <c r="B17" s="23"/>
      <c r="C17" s="25"/>
      <c r="D17" s="26"/>
    </row>
    <row r="18" spans="1:4" ht="24" customHeight="1">
      <c r="A18" s="1"/>
      <c r="B18" s="1"/>
      <c r="C18" s="1"/>
      <c r="D18" s="1"/>
    </row>
    <row r="19" spans="1:4" ht="24" customHeight="1">
      <c r="A19" s="1"/>
      <c r="B19" s="22" t="s">
        <v>23</v>
      </c>
      <c r="C19" s="24" t="s">
        <v>276</v>
      </c>
      <c r="D19" s="21" t="s">
        <v>277</v>
      </c>
    </row>
    <row r="20" spans="1:4" ht="24" customHeight="1">
      <c r="A20" s="1"/>
      <c r="B20" s="23"/>
      <c r="C20" s="25"/>
      <c r="D20" s="26"/>
    </row>
    <row r="21" spans="1:4" ht="24" customHeight="1">
      <c r="A21" s="1"/>
      <c r="B21" s="1"/>
      <c r="C21" s="1"/>
      <c r="D21" s="1"/>
    </row>
    <row r="22" spans="1:4" ht="24" customHeight="1">
      <c r="A22" s="1"/>
      <c r="B22" s="22" t="s">
        <v>27</v>
      </c>
      <c r="C22" s="24" t="s">
        <v>278</v>
      </c>
      <c r="D22" s="21" t="s">
        <v>279</v>
      </c>
    </row>
    <row r="23" spans="1:4" ht="24" customHeight="1">
      <c r="A23" s="1"/>
      <c r="B23" s="23"/>
      <c r="C23" s="25"/>
      <c r="D23" s="26"/>
    </row>
    <row r="24" spans="1:4" ht="24" customHeight="1">
      <c r="A24" s="1"/>
      <c r="B24" s="1"/>
      <c r="C24" s="1"/>
      <c r="D24" s="1"/>
    </row>
    <row r="25" spans="1:4" ht="24" customHeight="1">
      <c r="A25" s="1"/>
      <c r="B25" s="22" t="s">
        <v>31</v>
      </c>
      <c r="C25" s="24" t="s">
        <v>280</v>
      </c>
      <c r="D25" s="21" t="s">
        <v>281</v>
      </c>
    </row>
    <row r="26" spans="1:4" ht="24" customHeight="1">
      <c r="A26" s="1"/>
      <c r="B26" s="23"/>
      <c r="C26" s="25"/>
      <c r="D26" s="26"/>
    </row>
    <row r="27" spans="1:4" ht="24" customHeight="1">
      <c r="A27" s="1"/>
      <c r="B27" s="1"/>
      <c r="C27" s="1"/>
      <c r="D27" s="1"/>
    </row>
    <row r="28" spans="1:4" ht="24" customHeight="1">
      <c r="A28" s="1"/>
      <c r="B28" s="1"/>
      <c r="C28" s="1"/>
      <c r="D28" s="1"/>
    </row>
    <row r="29" spans="1:4" ht="24" customHeight="1">
      <c r="A29" s="1"/>
      <c r="B29" s="1"/>
      <c r="C29" s="1"/>
      <c r="D29" s="1"/>
    </row>
    <row r="30" spans="1:4" ht="24" customHeight="1">
      <c r="A30" s="1"/>
      <c r="B30" s="1"/>
      <c r="C30" s="1"/>
      <c r="D30" s="1"/>
    </row>
    <row r="31" spans="1:4" ht="24" customHeight="1">
      <c r="A31" s="1"/>
      <c r="B31" s="1"/>
      <c r="C31" s="1"/>
      <c r="D31" s="1"/>
    </row>
    <row r="32" spans="1:4" ht="24" customHeight="1">
      <c r="A32" s="1"/>
      <c r="B32" s="1"/>
      <c r="C32" s="1"/>
      <c r="D32" s="1"/>
    </row>
    <row r="33" spans="1:4" ht="24" customHeight="1">
      <c r="A33" s="1"/>
      <c r="B33" s="1"/>
      <c r="C33" s="1"/>
      <c r="D33" s="1"/>
    </row>
    <row r="34" spans="1:4" ht="24" customHeight="1">
      <c r="A34" s="1"/>
      <c r="B34" s="1"/>
      <c r="C34" s="1"/>
      <c r="D34" s="1"/>
    </row>
    <row r="35" spans="1:4" ht="24" customHeight="1">
      <c r="A35" s="1"/>
      <c r="B35" s="1"/>
      <c r="C35" s="1"/>
      <c r="D35" s="1"/>
    </row>
    <row r="36" spans="1:4" ht="24" customHeight="1">
      <c r="A36" s="1"/>
      <c r="B36" s="1"/>
      <c r="C36" s="1"/>
      <c r="D36" s="1"/>
    </row>
    <row r="37" spans="1:4" ht="24" customHeight="1">
      <c r="A37" s="1"/>
      <c r="B37" s="1"/>
      <c r="C37" s="1"/>
      <c r="D37" s="1"/>
    </row>
    <row r="38" spans="1:4" ht="24" customHeight="1">
      <c r="A38" s="1"/>
      <c r="B38" s="1"/>
      <c r="C38" s="1"/>
      <c r="D38" s="1"/>
    </row>
    <row r="39" spans="1:4" ht="24" customHeight="1">
      <c r="A39" s="1"/>
      <c r="B39" s="1"/>
      <c r="C39" s="1"/>
      <c r="D39" s="1"/>
    </row>
    <row r="40" spans="1:4" ht="24" customHeight="1">
      <c r="A40" s="1"/>
      <c r="B40" s="1"/>
      <c r="C40" s="1"/>
      <c r="D40" s="1"/>
    </row>
    <row r="41" spans="1:4" ht="24" customHeight="1">
      <c r="A41" s="1"/>
      <c r="B41" s="1"/>
      <c r="C41" s="1"/>
      <c r="D41" s="1"/>
    </row>
    <row r="42" spans="1:4" ht="24" customHeight="1">
      <c r="A42" s="1"/>
      <c r="B42" s="1"/>
      <c r="C42" s="1"/>
      <c r="D42" s="1"/>
    </row>
    <row r="43" spans="1:4" ht="24" customHeight="1">
      <c r="A43" s="1"/>
      <c r="B43" s="1"/>
      <c r="C43" s="1"/>
      <c r="D43" s="1"/>
    </row>
    <row r="44" spans="1:4" ht="24" customHeight="1">
      <c r="A44" s="1"/>
      <c r="B44" s="1"/>
      <c r="C44" s="1"/>
      <c r="D44" s="1"/>
    </row>
    <row r="45" spans="1:4" ht="24" customHeight="1">
      <c r="A45" s="1"/>
      <c r="B45" s="1"/>
      <c r="C45" s="1"/>
      <c r="D45" s="1"/>
    </row>
    <row r="46" spans="1:4" ht="24" customHeight="1">
      <c r="A46" s="1"/>
      <c r="B46" s="1"/>
      <c r="C46" s="1"/>
      <c r="D46" s="1"/>
    </row>
    <row r="47" spans="1:4" ht="24" customHeight="1">
      <c r="A47" s="1"/>
      <c r="B47" s="1"/>
      <c r="C47" s="1"/>
      <c r="D47" s="1"/>
    </row>
    <row r="48" spans="1:4" ht="24" customHeight="1">
      <c r="A48" s="1"/>
      <c r="B48" s="1"/>
      <c r="C48" s="1"/>
      <c r="D48" s="1"/>
    </row>
    <row r="49" spans="1:4" ht="24" customHeight="1">
      <c r="A49" s="1"/>
      <c r="B49" s="1"/>
      <c r="C49" s="1"/>
      <c r="D49" s="1"/>
    </row>
    <row r="50" spans="1:4" ht="24" customHeight="1">
      <c r="A50" s="1"/>
      <c r="B50" s="1"/>
      <c r="C50" s="1"/>
      <c r="D50" s="1"/>
    </row>
    <row r="51" spans="1:4" ht="24" customHeight="1">
      <c r="A51" s="1"/>
      <c r="B51" s="1"/>
      <c r="C51" s="1"/>
      <c r="D51" s="1"/>
    </row>
    <row r="52" spans="1:4" ht="24" customHeight="1">
      <c r="A52" s="1"/>
      <c r="B52" s="1"/>
      <c r="C52" s="1"/>
      <c r="D52" s="1"/>
    </row>
    <row r="53" spans="1:4" ht="24" customHeight="1">
      <c r="A53" s="1"/>
      <c r="B53" s="1"/>
      <c r="C53" s="1"/>
      <c r="D53" s="1"/>
    </row>
    <row r="54" spans="1:4" ht="24" customHeight="1">
      <c r="A54" s="1"/>
      <c r="B54" s="1"/>
      <c r="C54" s="1"/>
      <c r="D54" s="1"/>
    </row>
    <row r="55" spans="1:4" ht="24" customHeight="1">
      <c r="A55" s="1"/>
      <c r="B55" s="1"/>
      <c r="C55" s="1"/>
      <c r="D55" s="1"/>
    </row>
  </sheetData>
  <mergeCells count="17">
    <mergeCell ref="B2:D2"/>
    <mergeCell ref="B4:D4"/>
    <mergeCell ref="B5:D5"/>
    <mergeCell ref="B8:D11"/>
    <mergeCell ref="B14:D14"/>
    <mergeCell ref="B16:B17"/>
    <mergeCell ref="C16:C17"/>
    <mergeCell ref="D16:D17"/>
    <mergeCell ref="B19:B20"/>
    <mergeCell ref="C19:C20"/>
    <mergeCell ref="D19:D20"/>
    <mergeCell ref="B22:B23"/>
    <mergeCell ref="C22:C23"/>
    <mergeCell ref="D22:D23"/>
    <mergeCell ref="B25:B26"/>
    <mergeCell ref="C25:C26"/>
    <mergeCell ref="D25:D26"/>
  </mergeCells>
  <hyperlinks>
    <hyperlink ref="D1" location="'01_Muc_luc'!A1" display="← Mục lục" xr:uid="{16ADCE06-DC10-406A-A3D6-CBB60F3688B3}"/>
  </hyperlinks>
  <pageMargins left="0.30555555555555558" right="0.30555555555555558" top="0.30555555555555558" bottom="0.30555555555555558" header="0.3" footer="0.3"/>
  <pageSetup paperSize="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EBDB2"/>
    <pageSetUpPr fitToPage="1"/>
  </sheetPr>
  <dimension ref="A1:D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7.5" customWidth="1"/>
    <col min="3" max="3" width="36.19921875" customWidth="1"/>
    <col min="4" max="4" width="90" customWidth="1"/>
  </cols>
  <sheetData>
    <row r="1" spans="1:4" ht="24" customHeight="1">
      <c r="A1" s="1"/>
      <c r="B1" s="1"/>
      <c r="C1" s="1"/>
      <c r="D1" s="10" t="s">
        <v>572</v>
      </c>
    </row>
    <row r="2" spans="1:4" ht="24" customHeight="1">
      <c r="A2" s="1"/>
      <c r="B2" s="16" t="s">
        <v>269</v>
      </c>
      <c r="C2" s="16"/>
      <c r="D2" s="16"/>
    </row>
    <row r="3" spans="1:4" ht="24" customHeight="1">
      <c r="A3" s="1"/>
      <c r="B3" s="1"/>
      <c r="C3" s="1"/>
      <c r="D3" s="1"/>
    </row>
    <row r="4" spans="1:4" ht="39" customHeight="1">
      <c r="A4" s="1"/>
      <c r="B4" s="17" t="s">
        <v>30</v>
      </c>
      <c r="C4" s="17"/>
      <c r="D4" s="17"/>
    </row>
    <row r="5" spans="1:4" ht="30" customHeight="1">
      <c r="A5" s="1"/>
      <c r="B5" s="11" t="s">
        <v>282</v>
      </c>
      <c r="C5" s="11"/>
      <c r="D5" s="11"/>
    </row>
    <row r="6" spans="1:4" ht="10.050000000000001" customHeight="1">
      <c r="A6" s="1"/>
      <c r="B6" s="2"/>
      <c r="C6" s="2"/>
      <c r="D6" s="2"/>
    </row>
    <row r="7" spans="1:4" ht="12" customHeight="1">
      <c r="A7" s="1"/>
      <c r="B7" s="1"/>
      <c r="C7" s="1"/>
      <c r="D7" s="1"/>
    </row>
    <row r="8" spans="1:4" ht="31.05" customHeight="1">
      <c r="A8" s="1"/>
      <c r="B8" s="3" t="s">
        <v>283</v>
      </c>
      <c r="C8" s="3" t="s">
        <v>284</v>
      </c>
      <c r="D8" s="3" t="s">
        <v>285</v>
      </c>
    </row>
    <row r="9" spans="1:4" ht="39" customHeight="1">
      <c r="A9" s="1"/>
      <c r="B9" s="7">
        <v>1</v>
      </c>
      <c r="C9" s="2" t="s">
        <v>286</v>
      </c>
      <c r="D9" s="2" t="s">
        <v>287</v>
      </c>
    </row>
    <row r="10" spans="1:4" ht="39" customHeight="1">
      <c r="A10" s="1"/>
      <c r="B10" s="7">
        <v>2</v>
      </c>
      <c r="C10" s="2" t="s">
        <v>288</v>
      </c>
      <c r="D10" s="2" t="s">
        <v>289</v>
      </c>
    </row>
    <row r="11" spans="1:4" ht="39" customHeight="1">
      <c r="A11" s="1"/>
      <c r="B11" s="7">
        <v>3</v>
      </c>
      <c r="C11" s="2" t="s">
        <v>290</v>
      </c>
      <c r="D11" s="2" t="s">
        <v>291</v>
      </c>
    </row>
    <row r="12" spans="1:4" ht="39" customHeight="1">
      <c r="A12" s="1"/>
      <c r="B12" s="7">
        <v>4</v>
      </c>
      <c r="C12" s="2" t="s">
        <v>292</v>
      </c>
      <c r="D12" s="2" t="s">
        <v>293</v>
      </c>
    </row>
    <row r="13" spans="1:4" ht="39" customHeight="1">
      <c r="A13" s="1"/>
      <c r="B13" s="7">
        <v>5</v>
      </c>
      <c r="C13" s="2" t="s">
        <v>294</v>
      </c>
      <c r="D13" s="2" t="s">
        <v>295</v>
      </c>
    </row>
    <row r="14" spans="1:4" ht="39" customHeight="1">
      <c r="A14" s="1"/>
      <c r="B14" s="7">
        <v>6</v>
      </c>
      <c r="C14" s="2" t="s">
        <v>296</v>
      </c>
      <c r="D14" s="2" t="s">
        <v>297</v>
      </c>
    </row>
    <row r="15" spans="1:4" ht="39" customHeight="1">
      <c r="A15" s="1"/>
      <c r="B15" s="7">
        <v>7</v>
      </c>
      <c r="C15" s="2" t="s">
        <v>298</v>
      </c>
      <c r="D15" s="2" t="s">
        <v>299</v>
      </c>
    </row>
    <row r="16" spans="1:4" ht="39" customHeight="1">
      <c r="A16" s="1"/>
      <c r="B16" s="7">
        <v>8</v>
      </c>
      <c r="C16" s="2" t="s">
        <v>300</v>
      </c>
      <c r="D16" s="2" t="s">
        <v>301</v>
      </c>
    </row>
    <row r="17" spans="1:4" ht="39" customHeight="1">
      <c r="A17" s="1"/>
      <c r="B17" s="7">
        <v>9</v>
      </c>
      <c r="C17" s="2" t="s">
        <v>302</v>
      </c>
      <c r="D17" s="2" t="s">
        <v>303</v>
      </c>
    </row>
    <row r="18" spans="1:4" ht="39" customHeight="1">
      <c r="A18" s="1"/>
      <c r="B18" s="7">
        <v>10</v>
      </c>
      <c r="C18" s="2" t="s">
        <v>304</v>
      </c>
      <c r="D18" s="2" t="s">
        <v>305</v>
      </c>
    </row>
    <row r="19" spans="1:4" ht="39" customHeight="1">
      <c r="A19" s="1"/>
      <c r="B19" s="7">
        <v>11</v>
      </c>
      <c r="C19" s="2" t="s">
        <v>306</v>
      </c>
      <c r="D19" s="2" t="s">
        <v>307</v>
      </c>
    </row>
    <row r="20" spans="1:4" ht="24" customHeight="1">
      <c r="A20" s="1"/>
      <c r="B20" s="8"/>
      <c r="C20" s="1"/>
      <c r="D20" s="1"/>
    </row>
    <row r="21" spans="1:4" ht="24" customHeight="1">
      <c r="A21" s="1"/>
      <c r="B21" s="8"/>
      <c r="C21" s="1"/>
      <c r="D21" s="1"/>
    </row>
    <row r="22" spans="1:4" ht="24" customHeight="1">
      <c r="A22" s="1"/>
      <c r="B22" s="8"/>
      <c r="C22" s="1"/>
      <c r="D22" s="1"/>
    </row>
    <row r="23" spans="1:4" ht="24" customHeight="1">
      <c r="A23" s="1"/>
      <c r="B23" s="8"/>
      <c r="C23" s="1"/>
      <c r="D23" s="1"/>
    </row>
    <row r="24" spans="1:4" ht="24" customHeight="1">
      <c r="A24" s="1"/>
      <c r="B24" s="8"/>
      <c r="C24" s="1"/>
      <c r="D24" s="1"/>
    </row>
    <row r="25" spans="1:4" ht="24" customHeight="1">
      <c r="A25" s="1"/>
      <c r="B25" s="8"/>
      <c r="C25" s="1"/>
      <c r="D25" s="1"/>
    </row>
    <row r="26" spans="1:4" ht="24" customHeight="1">
      <c r="A26" s="1"/>
      <c r="B26" s="8"/>
      <c r="C26" s="1"/>
      <c r="D26" s="1"/>
    </row>
    <row r="27" spans="1:4" ht="24" customHeight="1">
      <c r="A27" s="1"/>
      <c r="B27" s="8"/>
      <c r="C27" s="1"/>
      <c r="D27" s="1"/>
    </row>
    <row r="28" spans="1:4" ht="24" customHeight="1">
      <c r="A28" s="1"/>
      <c r="B28" s="8"/>
      <c r="C28" s="1"/>
      <c r="D28" s="1"/>
    </row>
    <row r="29" spans="1:4" ht="24" customHeight="1">
      <c r="A29" s="1"/>
      <c r="B29" s="8"/>
      <c r="C29" s="1"/>
      <c r="D29" s="1"/>
    </row>
    <row r="30" spans="1:4" ht="24" customHeight="1">
      <c r="A30" s="1"/>
      <c r="B30" s="8"/>
      <c r="C30" s="1"/>
      <c r="D30" s="1"/>
    </row>
    <row r="31" spans="1:4" ht="24" customHeight="1">
      <c r="A31" s="1"/>
      <c r="B31" s="1"/>
      <c r="C31" s="1"/>
      <c r="D31" s="1"/>
    </row>
    <row r="32" spans="1:4" ht="24" customHeight="1">
      <c r="A32" s="1"/>
      <c r="B32" s="1"/>
      <c r="C32" s="1"/>
      <c r="D32" s="1"/>
    </row>
    <row r="33" spans="1:4" ht="24" customHeight="1">
      <c r="A33" s="1"/>
      <c r="B33" s="1"/>
      <c r="C33" s="1"/>
      <c r="D33" s="1"/>
    </row>
    <row r="34" spans="1:4" ht="24" customHeight="1">
      <c r="A34" s="1"/>
      <c r="B34" s="1"/>
      <c r="C34" s="1"/>
      <c r="D34" s="1"/>
    </row>
    <row r="35" spans="1:4" ht="24" customHeight="1">
      <c r="A35" s="1"/>
      <c r="B35" s="1"/>
      <c r="C35" s="1"/>
      <c r="D35" s="1"/>
    </row>
    <row r="36" spans="1:4" ht="24" customHeight="1">
      <c r="A36" s="1"/>
      <c r="B36" s="1"/>
      <c r="C36" s="1"/>
      <c r="D36" s="1"/>
    </row>
    <row r="37" spans="1:4" ht="24" customHeight="1">
      <c r="A37" s="1"/>
      <c r="B37" s="1"/>
      <c r="C37" s="1"/>
      <c r="D37" s="1"/>
    </row>
    <row r="38" spans="1:4" ht="24" customHeight="1">
      <c r="A38" s="1"/>
      <c r="B38" s="1"/>
      <c r="C38" s="1"/>
      <c r="D38" s="1"/>
    </row>
    <row r="39" spans="1:4" ht="24" customHeight="1">
      <c r="A39" s="1"/>
      <c r="B39" s="1"/>
      <c r="C39" s="1"/>
      <c r="D39" s="1"/>
    </row>
    <row r="40" spans="1:4" ht="24" customHeight="1">
      <c r="A40" s="1"/>
      <c r="B40" s="1"/>
      <c r="C40" s="1"/>
      <c r="D40" s="1"/>
    </row>
    <row r="41" spans="1:4" ht="24" customHeight="1">
      <c r="A41" s="1"/>
      <c r="B41" s="1"/>
      <c r="C41" s="1"/>
      <c r="D41" s="1"/>
    </row>
    <row r="42" spans="1:4" ht="24" customHeight="1">
      <c r="A42" s="1"/>
      <c r="B42" s="1"/>
      <c r="C42" s="1"/>
      <c r="D42" s="1"/>
    </row>
    <row r="43" spans="1:4" ht="24" customHeight="1">
      <c r="A43" s="1"/>
      <c r="B43" s="1"/>
      <c r="C43" s="1"/>
      <c r="D43" s="1"/>
    </row>
    <row r="44" spans="1:4" ht="24" customHeight="1">
      <c r="A44" s="1"/>
      <c r="B44" s="1"/>
      <c r="C44" s="1"/>
      <c r="D44" s="1"/>
    </row>
    <row r="45" spans="1:4" ht="24" customHeight="1">
      <c r="A45" s="1"/>
      <c r="B45" s="1"/>
      <c r="C45" s="1"/>
      <c r="D45" s="1"/>
    </row>
    <row r="46" spans="1:4" ht="24" customHeight="1">
      <c r="A46" s="1"/>
      <c r="B46" s="1"/>
      <c r="C46" s="1"/>
      <c r="D46" s="1"/>
    </row>
    <row r="47" spans="1:4" ht="24" customHeight="1">
      <c r="A47" s="1"/>
      <c r="B47" s="1"/>
      <c r="C47" s="1"/>
      <c r="D47" s="1"/>
    </row>
    <row r="48" spans="1:4" ht="24" customHeight="1">
      <c r="A48" s="1"/>
      <c r="B48" s="1"/>
      <c r="C48" s="1"/>
      <c r="D48" s="1"/>
    </row>
    <row r="49" spans="1:4" ht="24" customHeight="1">
      <c r="A49" s="1"/>
      <c r="B49" s="1"/>
      <c r="C49" s="1"/>
      <c r="D49" s="1"/>
    </row>
    <row r="50" spans="1:4" ht="24" customHeight="1">
      <c r="A50" s="1"/>
      <c r="B50" s="1"/>
      <c r="C50" s="1"/>
      <c r="D50" s="1"/>
    </row>
    <row r="51" spans="1:4" ht="24" customHeight="1">
      <c r="A51" s="1"/>
      <c r="B51" s="1"/>
      <c r="C51" s="1"/>
      <c r="D51" s="1"/>
    </row>
    <row r="52" spans="1:4" ht="24" customHeight="1">
      <c r="A52" s="1"/>
      <c r="B52" s="1"/>
      <c r="C52" s="1"/>
      <c r="D52" s="1"/>
    </row>
    <row r="53" spans="1:4" ht="24" customHeight="1">
      <c r="A53" s="1"/>
      <c r="B53" s="1"/>
      <c r="C53" s="1"/>
      <c r="D53" s="1"/>
    </row>
    <row r="54" spans="1:4" ht="24" customHeight="1">
      <c r="A54" s="1"/>
      <c r="B54" s="1"/>
      <c r="C54" s="1"/>
      <c r="D54" s="1"/>
    </row>
    <row r="55" spans="1:4" ht="24" customHeight="1">
      <c r="A55" s="1"/>
      <c r="B55" s="1"/>
      <c r="C55" s="1"/>
      <c r="D55" s="1"/>
    </row>
  </sheetData>
  <mergeCells count="3">
    <mergeCell ref="B2:D2"/>
    <mergeCell ref="B4:D4"/>
    <mergeCell ref="B5:D5"/>
  </mergeCells>
  <hyperlinks>
    <hyperlink ref="D1" location="'01_Muc_luc'!A1" display="← Mục lục" xr:uid="{7B090518-0230-47DB-BE11-21169742D888}"/>
  </hyperlinks>
  <pageMargins left="0.30555555555555558" right="0.30555555555555558" top="0.30555555555555558" bottom="0.30555555555555558" header="0.3" footer="0.3"/>
  <pageSetup paperSize="8"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EBDB2"/>
    <pageSetUpPr fitToPage="1"/>
  </sheetPr>
  <dimension ref="A1:C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29.3984375" customWidth="1"/>
    <col min="3" max="3" width="104.3984375" customWidth="1"/>
  </cols>
  <sheetData>
    <row r="1" spans="1:3" ht="24" customHeight="1">
      <c r="A1" s="1"/>
      <c r="B1" s="1"/>
      <c r="C1" s="10" t="s">
        <v>572</v>
      </c>
    </row>
    <row r="2" spans="1:3" ht="24" customHeight="1">
      <c r="A2" s="1"/>
      <c r="B2" s="16" t="s">
        <v>269</v>
      </c>
      <c r="C2" s="16"/>
    </row>
    <row r="3" spans="1:3" ht="24" customHeight="1">
      <c r="A3" s="1"/>
      <c r="B3" s="1"/>
      <c r="C3" s="1"/>
    </row>
    <row r="4" spans="1:3" ht="39" customHeight="1">
      <c r="A4" s="1"/>
      <c r="B4" s="17" t="s">
        <v>34</v>
      </c>
      <c r="C4" s="17"/>
    </row>
    <row r="5" spans="1:3" ht="30" customHeight="1">
      <c r="A5" s="1"/>
      <c r="B5" s="11" t="s">
        <v>308</v>
      </c>
      <c r="C5" s="11"/>
    </row>
    <row r="6" spans="1:3" ht="10.050000000000001" customHeight="1">
      <c r="A6" s="1"/>
      <c r="B6" s="2"/>
      <c r="C6" s="2"/>
    </row>
    <row r="7" spans="1:3" ht="12" customHeight="1">
      <c r="A7" s="1"/>
      <c r="B7" s="1"/>
      <c r="C7" s="1"/>
    </row>
    <row r="8" spans="1:3" ht="31.05" customHeight="1">
      <c r="A8" s="1"/>
      <c r="B8" s="3" t="s">
        <v>309</v>
      </c>
      <c r="C8" s="3" t="s">
        <v>310</v>
      </c>
    </row>
    <row r="9" spans="1:3" ht="36" customHeight="1">
      <c r="A9" s="1"/>
      <c r="B9" s="2" t="s">
        <v>311</v>
      </c>
      <c r="C9" s="2" t="s">
        <v>312</v>
      </c>
    </row>
    <row r="10" spans="1:3" ht="36" customHeight="1">
      <c r="A10" s="1"/>
      <c r="B10" s="2" t="s">
        <v>313</v>
      </c>
      <c r="C10" s="2" t="s">
        <v>314</v>
      </c>
    </row>
    <row r="11" spans="1:3" ht="36" customHeight="1">
      <c r="A11" s="1"/>
      <c r="B11" s="2" t="s">
        <v>315</v>
      </c>
      <c r="C11" s="2" t="s">
        <v>316</v>
      </c>
    </row>
    <row r="12" spans="1:3" ht="36" customHeight="1">
      <c r="A12" s="1"/>
      <c r="B12" s="2" t="s">
        <v>300</v>
      </c>
      <c r="C12" s="2" t="s">
        <v>317</v>
      </c>
    </row>
    <row r="13" spans="1:3" ht="36" customHeight="1">
      <c r="A13" s="1"/>
      <c r="B13" s="2" t="s">
        <v>318</v>
      </c>
      <c r="C13" s="2" t="s">
        <v>319</v>
      </c>
    </row>
    <row r="14" spans="1:3" ht="36" customHeight="1">
      <c r="A14" s="1"/>
      <c r="B14" s="2" t="s">
        <v>320</v>
      </c>
      <c r="C14" s="2" t="s">
        <v>321</v>
      </c>
    </row>
    <row r="15" spans="1:3" ht="36" customHeight="1">
      <c r="A15" s="1"/>
      <c r="B15" s="2" t="s">
        <v>322</v>
      </c>
      <c r="C15" s="2" t="s">
        <v>323</v>
      </c>
    </row>
    <row r="16" spans="1:3" ht="36" customHeight="1">
      <c r="A16" s="1"/>
      <c r="B16" s="2" t="s">
        <v>324</v>
      </c>
      <c r="C16" s="2" t="s">
        <v>325</v>
      </c>
    </row>
    <row r="17" spans="1:3" ht="36" customHeight="1">
      <c r="A17" s="1"/>
      <c r="B17" s="2" t="s">
        <v>326</v>
      </c>
      <c r="C17" s="2" t="s">
        <v>327</v>
      </c>
    </row>
    <row r="18" spans="1:3" ht="36" customHeight="1">
      <c r="A18" s="1"/>
      <c r="B18" s="2" t="s">
        <v>328</v>
      </c>
      <c r="C18" s="2" t="s">
        <v>329</v>
      </c>
    </row>
    <row r="19" spans="1:3" ht="36" customHeight="1">
      <c r="A19" s="1"/>
      <c r="B19" s="2" t="s">
        <v>330</v>
      </c>
      <c r="C19" s="2" t="s">
        <v>331</v>
      </c>
    </row>
    <row r="20" spans="1:3" ht="24" customHeight="1">
      <c r="A20" s="1"/>
      <c r="B20" s="1"/>
      <c r="C20" s="1"/>
    </row>
    <row r="21" spans="1:3" ht="24" customHeight="1">
      <c r="A21" s="1"/>
      <c r="B21" s="1"/>
      <c r="C21" s="1"/>
    </row>
    <row r="22" spans="1:3" ht="24" customHeight="1">
      <c r="A22" s="1"/>
      <c r="B22" s="1"/>
      <c r="C22" s="1"/>
    </row>
    <row r="23" spans="1:3" ht="24" customHeight="1">
      <c r="A23" s="1"/>
      <c r="B23" s="1"/>
      <c r="C23" s="1"/>
    </row>
    <row r="24" spans="1:3" ht="24" customHeight="1">
      <c r="A24" s="1"/>
      <c r="B24" s="1"/>
      <c r="C24" s="1"/>
    </row>
    <row r="25" spans="1:3" ht="24" customHeight="1">
      <c r="A25" s="1"/>
      <c r="B25" s="1"/>
      <c r="C25" s="1"/>
    </row>
    <row r="26" spans="1:3" ht="24" customHeight="1">
      <c r="A26" s="1"/>
      <c r="B26" s="1"/>
      <c r="C26" s="1"/>
    </row>
    <row r="27" spans="1:3" ht="24" customHeight="1">
      <c r="A27" s="1"/>
      <c r="B27" s="1"/>
      <c r="C27" s="1"/>
    </row>
    <row r="28" spans="1:3" ht="24" customHeight="1">
      <c r="A28" s="1"/>
      <c r="B28" s="1"/>
      <c r="C28" s="1"/>
    </row>
    <row r="29" spans="1:3" ht="24" customHeight="1">
      <c r="A29" s="1"/>
      <c r="B29" s="1"/>
      <c r="C29" s="1"/>
    </row>
    <row r="30" spans="1:3" ht="24" customHeight="1">
      <c r="A30" s="1"/>
      <c r="B30" s="1"/>
      <c r="C30" s="1"/>
    </row>
    <row r="31" spans="1:3" ht="24" customHeight="1">
      <c r="A31" s="1"/>
      <c r="B31" s="1"/>
      <c r="C31" s="1"/>
    </row>
    <row r="32" spans="1:3" ht="24" customHeight="1">
      <c r="A32" s="1"/>
      <c r="B32" s="1"/>
      <c r="C32" s="1"/>
    </row>
    <row r="33" spans="1:3" ht="24" customHeight="1">
      <c r="A33" s="1"/>
      <c r="B33" s="1"/>
      <c r="C33" s="1"/>
    </row>
    <row r="34" spans="1:3" ht="24" customHeight="1">
      <c r="A34" s="1"/>
      <c r="B34" s="1"/>
      <c r="C34" s="1"/>
    </row>
    <row r="35" spans="1:3" ht="24" customHeight="1">
      <c r="A35" s="1"/>
      <c r="B35" s="1"/>
      <c r="C35" s="1"/>
    </row>
    <row r="36" spans="1:3" ht="24" customHeight="1">
      <c r="A36" s="1"/>
      <c r="B36" s="1"/>
      <c r="C36" s="1"/>
    </row>
    <row r="37" spans="1:3" ht="24" customHeight="1">
      <c r="A37" s="1"/>
      <c r="B37" s="1"/>
      <c r="C37" s="1"/>
    </row>
    <row r="38" spans="1:3" ht="24" customHeight="1">
      <c r="A38" s="1"/>
      <c r="B38" s="1"/>
      <c r="C38" s="1"/>
    </row>
    <row r="39" spans="1:3" ht="24" customHeight="1">
      <c r="A39" s="1"/>
      <c r="B39" s="1"/>
      <c r="C39" s="1"/>
    </row>
    <row r="40" spans="1:3" ht="24" customHeight="1">
      <c r="A40" s="1"/>
      <c r="B40" s="1"/>
      <c r="C40" s="1"/>
    </row>
    <row r="41" spans="1:3" ht="24" customHeight="1">
      <c r="A41" s="1"/>
      <c r="B41" s="1"/>
      <c r="C41" s="1"/>
    </row>
    <row r="42" spans="1:3" ht="24" customHeight="1">
      <c r="A42" s="1"/>
      <c r="B42" s="1"/>
      <c r="C42" s="1"/>
    </row>
    <row r="43" spans="1:3" ht="24" customHeight="1">
      <c r="A43" s="1"/>
      <c r="B43" s="1"/>
      <c r="C43" s="1"/>
    </row>
    <row r="44" spans="1:3" ht="24" customHeight="1">
      <c r="A44" s="1"/>
      <c r="B44" s="1"/>
      <c r="C44" s="1"/>
    </row>
    <row r="45" spans="1:3" ht="24" customHeight="1">
      <c r="A45" s="1"/>
      <c r="B45" s="1"/>
      <c r="C45" s="1"/>
    </row>
    <row r="46" spans="1:3" ht="24" customHeight="1">
      <c r="A46" s="1"/>
      <c r="B46" s="1"/>
      <c r="C46" s="1"/>
    </row>
    <row r="47" spans="1:3" ht="24" customHeight="1">
      <c r="A47" s="1"/>
      <c r="B47" s="1"/>
      <c r="C47" s="1"/>
    </row>
    <row r="48" spans="1:3" ht="24" customHeight="1">
      <c r="A48" s="1"/>
      <c r="B48" s="1"/>
      <c r="C48" s="1"/>
    </row>
    <row r="49" spans="1:3" ht="24" customHeight="1">
      <c r="A49" s="1"/>
      <c r="B49" s="1"/>
      <c r="C49" s="1"/>
    </row>
    <row r="50" spans="1:3" ht="24" customHeight="1">
      <c r="A50" s="1"/>
      <c r="B50" s="1"/>
      <c r="C50" s="1"/>
    </row>
    <row r="51" spans="1:3" ht="24" customHeight="1">
      <c r="A51" s="1"/>
      <c r="B51" s="1"/>
      <c r="C51" s="1"/>
    </row>
    <row r="52" spans="1:3" ht="24" customHeight="1">
      <c r="A52" s="1"/>
      <c r="B52" s="1"/>
      <c r="C52" s="1"/>
    </row>
    <row r="53" spans="1:3" ht="24" customHeight="1">
      <c r="A53" s="1"/>
      <c r="B53" s="1"/>
      <c r="C53" s="1"/>
    </row>
    <row r="54" spans="1:3" ht="24" customHeight="1">
      <c r="A54" s="1"/>
      <c r="B54" s="1"/>
      <c r="C54" s="1"/>
    </row>
    <row r="55" spans="1:3" ht="24" customHeight="1">
      <c r="A55" s="1"/>
      <c r="B55" s="1"/>
      <c r="C55" s="1"/>
    </row>
  </sheetData>
  <mergeCells count="3">
    <mergeCell ref="B2:C2"/>
    <mergeCell ref="B4:C4"/>
    <mergeCell ref="B5:C5"/>
  </mergeCells>
  <hyperlinks>
    <hyperlink ref="C1" location="'01_Muc_luc'!A1" display="← Mục lục" xr:uid="{82C3FE61-D526-43B5-94E7-474E63C0E6C6}"/>
  </hyperlinks>
  <pageMargins left="0.30555555555555558" right="0.30555555555555558" top="0.30555555555555558" bottom="0.30555555555555558"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EBDB2"/>
    <pageSetUpPr fitToPage="1"/>
  </sheetPr>
  <dimension ref="A1:C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29.3984375" customWidth="1"/>
    <col min="3" max="3" width="104.3984375" customWidth="1"/>
  </cols>
  <sheetData>
    <row r="1" spans="1:3" ht="24" customHeight="1">
      <c r="A1" s="1"/>
      <c r="B1" s="1"/>
      <c r="C1" s="10" t="s">
        <v>572</v>
      </c>
    </row>
    <row r="2" spans="1:3" ht="24" customHeight="1">
      <c r="A2" s="1"/>
      <c r="B2" s="16" t="s">
        <v>269</v>
      </c>
      <c r="C2" s="16"/>
    </row>
    <row r="3" spans="1:3" ht="24" customHeight="1">
      <c r="A3" s="1"/>
      <c r="B3" s="1"/>
      <c r="C3" s="1"/>
    </row>
    <row r="4" spans="1:3" ht="39" customHeight="1">
      <c r="A4" s="1"/>
      <c r="B4" s="17" t="s">
        <v>38</v>
      </c>
      <c r="C4" s="17"/>
    </row>
    <row r="5" spans="1:3" ht="30" customHeight="1">
      <c r="A5" s="1"/>
      <c r="B5" s="11" t="s">
        <v>332</v>
      </c>
      <c r="C5" s="11"/>
    </row>
    <row r="6" spans="1:3" ht="10.050000000000001" customHeight="1">
      <c r="A6" s="1"/>
      <c r="B6" s="2"/>
      <c r="C6" s="2"/>
    </row>
    <row r="7" spans="1:3" ht="12" customHeight="1">
      <c r="A7" s="1"/>
      <c r="B7" s="1"/>
      <c r="C7" s="1"/>
    </row>
    <row r="8" spans="1:3" ht="31.05" customHeight="1">
      <c r="A8" s="1"/>
      <c r="B8" s="3" t="s">
        <v>309</v>
      </c>
      <c r="C8" s="3" t="s">
        <v>310</v>
      </c>
    </row>
    <row r="9" spans="1:3" ht="36" customHeight="1">
      <c r="A9" s="1"/>
      <c r="B9" s="2" t="s">
        <v>113</v>
      </c>
      <c r="C9" s="2" t="s">
        <v>333</v>
      </c>
    </row>
    <row r="10" spans="1:3" ht="36" customHeight="1">
      <c r="A10" s="1"/>
      <c r="B10" s="2" t="s">
        <v>334</v>
      </c>
      <c r="C10" s="2" t="s">
        <v>335</v>
      </c>
    </row>
    <row r="11" spans="1:3" ht="36" customHeight="1">
      <c r="A11" s="1"/>
      <c r="B11" s="2" t="s">
        <v>336</v>
      </c>
      <c r="C11" s="2" t="s">
        <v>337</v>
      </c>
    </row>
    <row r="12" spans="1:3" ht="36" customHeight="1">
      <c r="A12" s="1"/>
      <c r="B12" s="2" t="s">
        <v>338</v>
      </c>
      <c r="C12" s="2" t="s">
        <v>339</v>
      </c>
    </row>
    <row r="13" spans="1:3" ht="36" customHeight="1">
      <c r="A13" s="1"/>
      <c r="B13" s="2" t="s">
        <v>324</v>
      </c>
      <c r="C13" s="2" t="s">
        <v>340</v>
      </c>
    </row>
    <row r="14" spans="1:3" ht="36" customHeight="1">
      <c r="A14" s="1"/>
      <c r="B14" s="2" t="s">
        <v>341</v>
      </c>
      <c r="C14" s="2" t="s">
        <v>342</v>
      </c>
    </row>
    <row r="15" spans="1:3" ht="36" customHeight="1">
      <c r="A15" s="1"/>
      <c r="B15" s="2" t="s">
        <v>343</v>
      </c>
      <c r="C15" s="2" t="s">
        <v>344</v>
      </c>
    </row>
    <row r="16" spans="1:3" ht="36" customHeight="1">
      <c r="A16" s="1"/>
      <c r="B16" s="2" t="s">
        <v>326</v>
      </c>
      <c r="C16" s="2" t="s">
        <v>345</v>
      </c>
    </row>
    <row r="17" spans="1:3" ht="36" customHeight="1">
      <c r="A17" s="1"/>
      <c r="B17" s="2" t="s">
        <v>328</v>
      </c>
      <c r="C17" s="2" t="s">
        <v>346</v>
      </c>
    </row>
    <row r="18" spans="1:3" ht="36" customHeight="1">
      <c r="A18" s="1"/>
      <c r="B18" s="2" t="s">
        <v>347</v>
      </c>
      <c r="C18" s="2" t="s">
        <v>348</v>
      </c>
    </row>
    <row r="19" spans="1:3" ht="36" customHeight="1">
      <c r="A19" s="1"/>
      <c r="B19" s="2" t="s">
        <v>349</v>
      </c>
      <c r="C19" s="2" t="s">
        <v>350</v>
      </c>
    </row>
    <row r="20" spans="1:3" ht="36" customHeight="1">
      <c r="A20" s="1"/>
      <c r="B20" s="2" t="s">
        <v>121</v>
      </c>
      <c r="C20" s="2" t="s">
        <v>351</v>
      </c>
    </row>
    <row r="21" spans="1:3" ht="36" customHeight="1">
      <c r="A21" s="1"/>
      <c r="B21" s="2" t="s">
        <v>352</v>
      </c>
      <c r="C21" s="2" t="s">
        <v>353</v>
      </c>
    </row>
    <row r="22" spans="1:3" ht="36" customHeight="1">
      <c r="A22" s="1"/>
      <c r="B22" s="2" t="s">
        <v>354</v>
      </c>
      <c r="C22" s="2" t="s">
        <v>355</v>
      </c>
    </row>
    <row r="23" spans="1:3" ht="24" customHeight="1">
      <c r="A23" s="1"/>
      <c r="B23" s="1"/>
      <c r="C23" s="1"/>
    </row>
    <row r="24" spans="1:3" ht="24" customHeight="1">
      <c r="A24" s="1"/>
      <c r="B24" s="1"/>
      <c r="C24" s="1"/>
    </row>
    <row r="25" spans="1:3" ht="24" customHeight="1">
      <c r="A25" s="1"/>
      <c r="B25" s="1"/>
      <c r="C25" s="1"/>
    </row>
    <row r="26" spans="1:3" ht="24" customHeight="1">
      <c r="A26" s="1"/>
      <c r="B26" s="1"/>
      <c r="C26" s="1"/>
    </row>
    <row r="27" spans="1:3" ht="24" customHeight="1">
      <c r="A27" s="1"/>
      <c r="B27" s="1"/>
      <c r="C27" s="1"/>
    </row>
    <row r="28" spans="1:3" ht="24" customHeight="1">
      <c r="A28" s="1"/>
      <c r="B28" s="1"/>
      <c r="C28" s="1"/>
    </row>
    <row r="29" spans="1:3" ht="24" customHeight="1">
      <c r="A29" s="1"/>
      <c r="B29" s="1"/>
      <c r="C29" s="1"/>
    </row>
    <row r="30" spans="1:3" ht="24" customHeight="1">
      <c r="A30" s="1"/>
      <c r="B30" s="1"/>
      <c r="C30" s="1"/>
    </row>
    <row r="31" spans="1:3" ht="24" customHeight="1">
      <c r="A31" s="1"/>
      <c r="B31" s="1"/>
      <c r="C31" s="1"/>
    </row>
    <row r="32" spans="1:3" ht="24" customHeight="1">
      <c r="A32" s="1"/>
      <c r="B32" s="1"/>
      <c r="C32" s="1"/>
    </row>
    <row r="33" spans="1:3" ht="24" customHeight="1">
      <c r="A33" s="1"/>
      <c r="B33" s="1"/>
      <c r="C33" s="1"/>
    </row>
    <row r="34" spans="1:3" ht="24" customHeight="1">
      <c r="A34" s="1"/>
      <c r="B34" s="1"/>
      <c r="C34" s="1"/>
    </row>
    <row r="35" spans="1:3" ht="24" customHeight="1">
      <c r="A35" s="1"/>
      <c r="B35" s="1"/>
      <c r="C35" s="1"/>
    </row>
    <row r="36" spans="1:3" ht="24" customHeight="1">
      <c r="A36" s="1"/>
      <c r="B36" s="1"/>
      <c r="C36" s="1"/>
    </row>
    <row r="37" spans="1:3" ht="24" customHeight="1">
      <c r="A37" s="1"/>
      <c r="B37" s="1"/>
      <c r="C37" s="1"/>
    </row>
    <row r="38" spans="1:3" ht="24" customHeight="1">
      <c r="A38" s="1"/>
      <c r="B38" s="1"/>
      <c r="C38" s="1"/>
    </row>
    <row r="39" spans="1:3" ht="24" customHeight="1">
      <c r="A39" s="1"/>
      <c r="B39" s="1"/>
      <c r="C39" s="1"/>
    </row>
    <row r="40" spans="1:3" ht="24" customHeight="1">
      <c r="A40" s="1"/>
      <c r="B40" s="1"/>
      <c r="C40" s="1"/>
    </row>
    <row r="41" spans="1:3" ht="24" customHeight="1">
      <c r="A41" s="1"/>
      <c r="B41" s="1"/>
      <c r="C41" s="1"/>
    </row>
    <row r="42" spans="1:3" ht="24" customHeight="1">
      <c r="A42" s="1"/>
      <c r="B42" s="1"/>
      <c r="C42" s="1"/>
    </row>
    <row r="43" spans="1:3" ht="24" customHeight="1">
      <c r="A43" s="1"/>
      <c r="B43" s="1"/>
      <c r="C43" s="1"/>
    </row>
    <row r="44" spans="1:3" ht="24" customHeight="1">
      <c r="A44" s="1"/>
      <c r="B44" s="1"/>
      <c r="C44" s="1"/>
    </row>
    <row r="45" spans="1:3" ht="24" customHeight="1">
      <c r="A45" s="1"/>
      <c r="B45" s="1"/>
      <c r="C45" s="1"/>
    </row>
    <row r="46" spans="1:3" ht="24" customHeight="1">
      <c r="A46" s="1"/>
      <c r="B46" s="1"/>
      <c r="C46" s="1"/>
    </row>
    <row r="47" spans="1:3" ht="24" customHeight="1">
      <c r="A47" s="1"/>
      <c r="B47" s="1"/>
      <c r="C47" s="1"/>
    </row>
    <row r="48" spans="1:3" ht="24" customHeight="1">
      <c r="A48" s="1"/>
      <c r="B48" s="1"/>
      <c r="C48" s="1"/>
    </row>
    <row r="49" spans="1:3" ht="24" customHeight="1">
      <c r="A49" s="1"/>
      <c r="B49" s="1"/>
      <c r="C49" s="1"/>
    </row>
    <row r="50" spans="1:3" ht="24" customHeight="1">
      <c r="A50" s="1"/>
      <c r="B50" s="1"/>
      <c r="C50" s="1"/>
    </row>
    <row r="51" spans="1:3" ht="24" customHeight="1">
      <c r="A51" s="1"/>
      <c r="B51" s="1"/>
      <c r="C51" s="1"/>
    </row>
    <row r="52" spans="1:3" ht="24" customHeight="1">
      <c r="A52" s="1"/>
      <c r="B52" s="1"/>
      <c r="C52" s="1"/>
    </row>
    <row r="53" spans="1:3" ht="24" customHeight="1">
      <c r="A53" s="1"/>
      <c r="B53" s="1"/>
      <c r="C53" s="1"/>
    </row>
    <row r="54" spans="1:3" ht="24" customHeight="1">
      <c r="A54" s="1"/>
      <c r="B54" s="1"/>
      <c r="C54" s="1"/>
    </row>
    <row r="55" spans="1:3" ht="24" customHeight="1">
      <c r="A55" s="1"/>
      <c r="B55" s="1"/>
      <c r="C55" s="1"/>
    </row>
  </sheetData>
  <mergeCells count="3">
    <mergeCell ref="B2:C2"/>
    <mergeCell ref="B4:C4"/>
    <mergeCell ref="B5:C5"/>
  </mergeCells>
  <hyperlinks>
    <hyperlink ref="C1" location="'01_Muc_luc'!A1" display="← Mục lục" xr:uid="{4F4E7E5D-1146-4358-9D66-5E804B7E520E}"/>
  </hyperlinks>
  <pageMargins left="0.30555555555555558" right="0.30555555555555558" top="0.30555555555555558" bottom="0.30555555555555558" header="0.3" footer="0.3"/>
  <pageSetup paperSize="8" scale="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EBDB2"/>
    <pageSetUpPr fitToPage="1"/>
  </sheetPr>
  <dimension ref="A1:C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29.3984375" customWidth="1"/>
    <col min="3" max="3" width="104.3984375" customWidth="1"/>
  </cols>
  <sheetData>
    <row r="1" spans="1:3" ht="24" customHeight="1">
      <c r="A1" s="1"/>
      <c r="B1" s="1"/>
      <c r="C1" s="10" t="s">
        <v>572</v>
      </c>
    </row>
    <row r="2" spans="1:3" ht="24" customHeight="1">
      <c r="A2" s="1"/>
      <c r="B2" s="16" t="s">
        <v>269</v>
      </c>
      <c r="C2" s="16"/>
    </row>
    <row r="3" spans="1:3" ht="24" customHeight="1">
      <c r="A3" s="1"/>
      <c r="B3" s="1"/>
      <c r="C3" s="1"/>
    </row>
    <row r="4" spans="1:3" ht="39" customHeight="1">
      <c r="A4" s="1"/>
      <c r="B4" s="17" t="s">
        <v>42</v>
      </c>
      <c r="C4" s="17"/>
    </row>
    <row r="5" spans="1:3" ht="30" customHeight="1">
      <c r="A5" s="1"/>
      <c r="B5" s="11" t="s">
        <v>356</v>
      </c>
      <c r="C5" s="11"/>
    </row>
    <row r="6" spans="1:3" ht="10.050000000000001" customHeight="1">
      <c r="A6" s="1"/>
      <c r="B6" s="2"/>
      <c r="C6" s="2"/>
    </row>
    <row r="7" spans="1:3" ht="12" customHeight="1">
      <c r="A7" s="1"/>
      <c r="B7" s="1"/>
      <c r="C7" s="1"/>
    </row>
    <row r="8" spans="1:3" ht="31.05" customHeight="1">
      <c r="A8" s="1"/>
      <c r="B8" s="3" t="s">
        <v>309</v>
      </c>
      <c r="C8" s="3" t="s">
        <v>310</v>
      </c>
    </row>
    <row r="9" spans="1:3" ht="36" customHeight="1">
      <c r="A9" s="1"/>
      <c r="B9" s="2" t="s">
        <v>357</v>
      </c>
      <c r="C9" s="2" t="s">
        <v>358</v>
      </c>
    </row>
    <row r="10" spans="1:3" ht="36" customHeight="1">
      <c r="A10" s="1"/>
      <c r="B10" s="2" t="s">
        <v>359</v>
      </c>
      <c r="C10" s="2" t="s">
        <v>360</v>
      </c>
    </row>
    <row r="11" spans="1:3" ht="36" customHeight="1">
      <c r="A11" s="1"/>
      <c r="B11" s="2" t="s">
        <v>361</v>
      </c>
      <c r="C11" s="2" t="s">
        <v>362</v>
      </c>
    </row>
    <row r="12" spans="1:3" ht="36" customHeight="1">
      <c r="A12" s="1"/>
      <c r="B12" s="2" t="s">
        <v>363</v>
      </c>
      <c r="C12" s="2" t="s">
        <v>364</v>
      </c>
    </row>
    <row r="13" spans="1:3" ht="36" customHeight="1">
      <c r="A13" s="1"/>
      <c r="B13" s="2" t="s">
        <v>365</v>
      </c>
      <c r="C13" s="2" t="s">
        <v>366</v>
      </c>
    </row>
    <row r="14" spans="1:3" ht="36" customHeight="1">
      <c r="A14" s="1"/>
      <c r="B14" s="2" t="s">
        <v>367</v>
      </c>
      <c r="C14" s="2" t="s">
        <v>368</v>
      </c>
    </row>
    <row r="15" spans="1:3" ht="36" customHeight="1">
      <c r="A15" s="1"/>
      <c r="B15" s="2" t="s">
        <v>369</v>
      </c>
      <c r="C15" s="2" t="s">
        <v>370</v>
      </c>
    </row>
    <row r="16" spans="1:3" ht="36" customHeight="1">
      <c r="A16" s="1"/>
      <c r="B16" s="2" t="s">
        <v>371</v>
      </c>
      <c r="C16" s="2" t="s">
        <v>372</v>
      </c>
    </row>
    <row r="17" spans="1:3" ht="36" customHeight="1">
      <c r="A17" s="1"/>
      <c r="B17" s="2" t="s">
        <v>373</v>
      </c>
      <c r="C17" s="2" t="s">
        <v>374</v>
      </c>
    </row>
    <row r="18" spans="1:3" ht="24" customHeight="1">
      <c r="A18" s="1"/>
      <c r="B18" s="1"/>
      <c r="C18" s="1"/>
    </row>
    <row r="19" spans="1:3" ht="24" customHeight="1">
      <c r="A19" s="1"/>
      <c r="B19" s="1"/>
      <c r="C19" s="1"/>
    </row>
    <row r="20" spans="1:3" ht="24" customHeight="1">
      <c r="A20" s="1"/>
      <c r="B20" s="1"/>
      <c r="C20" s="1"/>
    </row>
    <row r="21" spans="1:3" ht="24" customHeight="1">
      <c r="A21" s="1"/>
      <c r="B21" s="1"/>
      <c r="C21" s="1"/>
    </row>
    <row r="22" spans="1:3" ht="24" customHeight="1">
      <c r="A22" s="1"/>
      <c r="B22" s="1"/>
      <c r="C22" s="1"/>
    </row>
    <row r="23" spans="1:3" ht="24" customHeight="1">
      <c r="A23" s="1"/>
      <c r="B23" s="1"/>
      <c r="C23" s="1"/>
    </row>
    <row r="24" spans="1:3" ht="24" customHeight="1">
      <c r="A24" s="1"/>
      <c r="B24" s="1"/>
      <c r="C24" s="1"/>
    </row>
    <row r="25" spans="1:3" ht="24" customHeight="1">
      <c r="A25" s="1"/>
      <c r="B25" s="1"/>
      <c r="C25" s="1"/>
    </row>
    <row r="26" spans="1:3" ht="24" customHeight="1">
      <c r="A26" s="1"/>
      <c r="B26" s="1"/>
      <c r="C26" s="1"/>
    </row>
    <row r="27" spans="1:3" ht="24" customHeight="1">
      <c r="A27" s="1"/>
      <c r="B27" s="1"/>
      <c r="C27" s="1"/>
    </row>
    <row r="28" spans="1:3" ht="24" customHeight="1">
      <c r="A28" s="1"/>
      <c r="B28" s="1"/>
      <c r="C28" s="1"/>
    </row>
    <row r="29" spans="1:3" ht="24" customHeight="1">
      <c r="A29" s="1"/>
      <c r="B29" s="1"/>
      <c r="C29" s="1"/>
    </row>
    <row r="30" spans="1:3" ht="24" customHeight="1">
      <c r="A30" s="1"/>
      <c r="B30" s="1"/>
      <c r="C30" s="1"/>
    </row>
    <row r="31" spans="1:3" ht="24" customHeight="1">
      <c r="A31" s="1"/>
      <c r="B31" s="1"/>
      <c r="C31" s="1"/>
    </row>
    <row r="32" spans="1:3" ht="24" customHeight="1">
      <c r="A32" s="1"/>
      <c r="B32" s="1"/>
      <c r="C32" s="1"/>
    </row>
    <row r="33" spans="1:3" ht="24" customHeight="1">
      <c r="A33" s="1"/>
      <c r="B33" s="1"/>
      <c r="C33" s="1"/>
    </row>
    <row r="34" spans="1:3" ht="24" customHeight="1">
      <c r="A34" s="1"/>
      <c r="B34" s="1"/>
      <c r="C34" s="1"/>
    </row>
    <row r="35" spans="1:3" ht="24" customHeight="1">
      <c r="A35" s="1"/>
      <c r="B35" s="1"/>
      <c r="C35" s="1"/>
    </row>
    <row r="36" spans="1:3" ht="24" customHeight="1">
      <c r="A36" s="1"/>
      <c r="B36" s="1"/>
      <c r="C36" s="1"/>
    </row>
    <row r="37" spans="1:3" ht="24" customHeight="1">
      <c r="A37" s="1"/>
      <c r="B37" s="1"/>
      <c r="C37" s="1"/>
    </row>
    <row r="38" spans="1:3" ht="24" customHeight="1">
      <c r="A38" s="1"/>
      <c r="B38" s="1"/>
      <c r="C38" s="1"/>
    </row>
    <row r="39" spans="1:3" ht="24" customHeight="1">
      <c r="A39" s="1"/>
      <c r="B39" s="1"/>
      <c r="C39" s="1"/>
    </row>
    <row r="40" spans="1:3" ht="24" customHeight="1">
      <c r="A40" s="1"/>
      <c r="B40" s="1"/>
      <c r="C40" s="1"/>
    </row>
    <row r="41" spans="1:3" ht="24" customHeight="1">
      <c r="A41" s="1"/>
      <c r="B41" s="1"/>
      <c r="C41" s="1"/>
    </row>
    <row r="42" spans="1:3" ht="24" customHeight="1">
      <c r="A42" s="1"/>
      <c r="B42" s="1"/>
      <c r="C42" s="1"/>
    </row>
    <row r="43" spans="1:3" ht="24" customHeight="1">
      <c r="A43" s="1"/>
      <c r="B43" s="1"/>
      <c r="C43" s="1"/>
    </row>
    <row r="44" spans="1:3" ht="24" customHeight="1">
      <c r="A44" s="1"/>
      <c r="B44" s="1"/>
      <c r="C44" s="1"/>
    </row>
    <row r="45" spans="1:3" ht="24" customHeight="1">
      <c r="A45" s="1"/>
      <c r="B45" s="1"/>
      <c r="C45" s="1"/>
    </row>
    <row r="46" spans="1:3" ht="24" customHeight="1">
      <c r="A46" s="1"/>
      <c r="B46" s="1"/>
      <c r="C46" s="1"/>
    </row>
    <row r="47" spans="1:3" ht="24" customHeight="1">
      <c r="A47" s="1"/>
      <c r="B47" s="1"/>
      <c r="C47" s="1"/>
    </row>
    <row r="48" spans="1:3" ht="24" customHeight="1">
      <c r="A48" s="1"/>
      <c r="B48" s="1"/>
      <c r="C48" s="1"/>
    </row>
    <row r="49" spans="1:3" ht="24" customHeight="1">
      <c r="A49" s="1"/>
      <c r="B49" s="1"/>
      <c r="C49" s="1"/>
    </row>
    <row r="50" spans="1:3" ht="24" customHeight="1">
      <c r="A50" s="1"/>
      <c r="B50" s="1"/>
      <c r="C50" s="1"/>
    </row>
    <row r="51" spans="1:3" ht="24" customHeight="1">
      <c r="A51" s="1"/>
      <c r="B51" s="1"/>
      <c r="C51" s="1"/>
    </row>
    <row r="52" spans="1:3" ht="24" customHeight="1">
      <c r="A52" s="1"/>
      <c r="B52" s="1"/>
      <c r="C52" s="1"/>
    </row>
    <row r="53" spans="1:3" ht="24" customHeight="1">
      <c r="A53" s="1"/>
      <c r="B53" s="1"/>
      <c r="C53" s="1"/>
    </row>
    <row r="54" spans="1:3" ht="24" customHeight="1">
      <c r="A54" s="1"/>
      <c r="B54" s="1"/>
      <c r="C54" s="1"/>
    </row>
    <row r="55" spans="1:3" ht="24" customHeight="1">
      <c r="A55" s="1"/>
      <c r="B55" s="1"/>
      <c r="C55" s="1"/>
    </row>
  </sheetData>
  <mergeCells count="3">
    <mergeCell ref="B2:C2"/>
    <mergeCell ref="B4:C4"/>
    <mergeCell ref="B5:C5"/>
  </mergeCells>
  <hyperlinks>
    <hyperlink ref="C1" location="'01_Muc_luc'!A1" display="← Mục lục" xr:uid="{190BBFB0-4B7E-4A96-A2CF-D4EE8002064B}"/>
  </hyperlinks>
  <pageMargins left="0.30555555555555558" right="0.30555555555555558" top="0.30555555555555558" bottom="0.30555555555555558" header="0.3" footer="0.3"/>
  <pageSetup paperSize="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EBDB2"/>
    <pageSetUpPr fitToPage="1"/>
  </sheetPr>
  <dimension ref="A1:C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29.3984375" customWidth="1"/>
    <col min="3" max="3" width="104.3984375" customWidth="1"/>
  </cols>
  <sheetData>
    <row r="1" spans="1:3" ht="24" customHeight="1">
      <c r="A1" s="1"/>
      <c r="B1" s="1"/>
      <c r="C1" s="10" t="s">
        <v>572</v>
      </c>
    </row>
    <row r="2" spans="1:3" ht="24" customHeight="1">
      <c r="A2" s="1"/>
      <c r="B2" s="16" t="s">
        <v>269</v>
      </c>
      <c r="C2" s="16"/>
    </row>
    <row r="3" spans="1:3" ht="24" customHeight="1">
      <c r="A3" s="1"/>
      <c r="B3" s="1"/>
      <c r="C3" s="1"/>
    </row>
    <row r="4" spans="1:3" ht="39" customHeight="1">
      <c r="A4" s="1"/>
      <c r="B4" s="17" t="s">
        <v>46</v>
      </c>
      <c r="C4" s="17"/>
    </row>
    <row r="5" spans="1:3" ht="30" customHeight="1">
      <c r="A5" s="1"/>
      <c r="B5" s="11" t="s">
        <v>375</v>
      </c>
      <c r="C5" s="11"/>
    </row>
    <row r="6" spans="1:3" ht="10.050000000000001" customHeight="1">
      <c r="A6" s="1"/>
      <c r="B6" s="2"/>
      <c r="C6" s="2"/>
    </row>
    <row r="7" spans="1:3" ht="12" customHeight="1">
      <c r="A7" s="1"/>
      <c r="B7" s="1"/>
      <c r="C7" s="1"/>
    </row>
    <row r="8" spans="1:3" ht="31.05" customHeight="1">
      <c r="A8" s="1"/>
      <c r="B8" s="3" t="s">
        <v>309</v>
      </c>
      <c r="C8" s="3" t="s">
        <v>310</v>
      </c>
    </row>
    <row r="9" spans="1:3" ht="36" customHeight="1">
      <c r="A9" s="1"/>
      <c r="B9" s="2" t="s">
        <v>376</v>
      </c>
      <c r="C9" s="2" t="s">
        <v>377</v>
      </c>
    </row>
    <row r="10" spans="1:3" ht="36" customHeight="1">
      <c r="A10" s="1"/>
      <c r="B10" s="2" t="s">
        <v>378</v>
      </c>
      <c r="C10" s="2" t="s">
        <v>379</v>
      </c>
    </row>
    <row r="11" spans="1:3" ht="36" customHeight="1">
      <c r="A11" s="1"/>
      <c r="B11" s="2" t="s">
        <v>380</v>
      </c>
      <c r="C11" s="2" t="s">
        <v>381</v>
      </c>
    </row>
    <row r="12" spans="1:3" ht="36" customHeight="1">
      <c r="A12" s="1"/>
      <c r="B12" s="2" t="s">
        <v>382</v>
      </c>
      <c r="C12" s="2" t="s">
        <v>383</v>
      </c>
    </row>
    <row r="13" spans="1:3" ht="36" customHeight="1">
      <c r="A13" s="1"/>
      <c r="B13" s="2" t="s">
        <v>384</v>
      </c>
      <c r="C13" s="2" t="s">
        <v>385</v>
      </c>
    </row>
    <row r="14" spans="1:3" ht="36" customHeight="1">
      <c r="A14" s="1"/>
      <c r="B14" s="2" t="s">
        <v>386</v>
      </c>
      <c r="C14" s="2" t="s">
        <v>387</v>
      </c>
    </row>
    <row r="15" spans="1:3" ht="36" customHeight="1">
      <c r="A15" s="1"/>
      <c r="B15" s="2" t="s">
        <v>388</v>
      </c>
      <c r="C15" s="2" t="s">
        <v>389</v>
      </c>
    </row>
    <row r="16" spans="1:3" ht="36" customHeight="1">
      <c r="A16" s="1"/>
      <c r="B16" s="2" t="s">
        <v>390</v>
      </c>
      <c r="C16" s="2" t="s">
        <v>391</v>
      </c>
    </row>
    <row r="17" spans="1:3" ht="36" customHeight="1">
      <c r="A17" s="1"/>
      <c r="B17" s="2" t="s">
        <v>392</v>
      </c>
      <c r="C17" s="2" t="s">
        <v>393</v>
      </c>
    </row>
    <row r="18" spans="1:3" ht="36" customHeight="1">
      <c r="A18" s="1"/>
      <c r="B18" s="2" t="s">
        <v>394</v>
      </c>
      <c r="C18" s="2" t="s">
        <v>395</v>
      </c>
    </row>
    <row r="19" spans="1:3" ht="36" customHeight="1">
      <c r="A19" s="1"/>
      <c r="B19" s="2" t="s">
        <v>396</v>
      </c>
      <c r="C19" s="2" t="s">
        <v>397</v>
      </c>
    </row>
    <row r="20" spans="1:3" ht="36" customHeight="1">
      <c r="A20" s="1"/>
      <c r="B20" s="2" t="s">
        <v>398</v>
      </c>
      <c r="C20" s="2" t="s">
        <v>399</v>
      </c>
    </row>
    <row r="21" spans="1:3" ht="24" customHeight="1">
      <c r="A21" s="1"/>
      <c r="B21" s="1"/>
      <c r="C21" s="1"/>
    </row>
    <row r="22" spans="1:3" ht="24" customHeight="1">
      <c r="A22" s="1"/>
      <c r="B22" s="1"/>
      <c r="C22" s="1"/>
    </row>
    <row r="23" spans="1:3" ht="24" customHeight="1">
      <c r="A23" s="1"/>
      <c r="B23" s="1"/>
      <c r="C23" s="1"/>
    </row>
    <row r="24" spans="1:3" ht="24" customHeight="1">
      <c r="A24" s="1"/>
      <c r="B24" s="1"/>
      <c r="C24" s="1"/>
    </row>
    <row r="25" spans="1:3" ht="24" customHeight="1">
      <c r="A25" s="1"/>
      <c r="B25" s="1"/>
      <c r="C25" s="1"/>
    </row>
    <row r="26" spans="1:3" ht="24" customHeight="1">
      <c r="A26" s="1"/>
      <c r="B26" s="1"/>
      <c r="C26" s="1"/>
    </row>
    <row r="27" spans="1:3" ht="24" customHeight="1">
      <c r="A27" s="1"/>
      <c r="B27" s="1"/>
      <c r="C27" s="1"/>
    </row>
    <row r="28" spans="1:3" ht="24" customHeight="1">
      <c r="A28" s="1"/>
      <c r="B28" s="1"/>
      <c r="C28" s="1"/>
    </row>
    <row r="29" spans="1:3" ht="24" customHeight="1">
      <c r="A29" s="1"/>
      <c r="B29" s="1"/>
      <c r="C29" s="1"/>
    </row>
    <row r="30" spans="1:3" ht="24" customHeight="1">
      <c r="A30" s="1"/>
      <c r="B30" s="1"/>
      <c r="C30" s="1"/>
    </row>
    <row r="31" spans="1:3" ht="24" customHeight="1">
      <c r="A31" s="1"/>
      <c r="B31" s="1"/>
      <c r="C31" s="1"/>
    </row>
    <row r="32" spans="1:3" ht="24" customHeight="1">
      <c r="A32" s="1"/>
      <c r="B32" s="1"/>
      <c r="C32" s="1"/>
    </row>
    <row r="33" spans="1:3" ht="24" customHeight="1">
      <c r="A33" s="1"/>
      <c r="B33" s="1"/>
      <c r="C33" s="1"/>
    </row>
    <row r="34" spans="1:3" ht="24" customHeight="1">
      <c r="A34" s="1"/>
      <c r="B34" s="1"/>
      <c r="C34" s="1"/>
    </row>
    <row r="35" spans="1:3" ht="24" customHeight="1">
      <c r="A35" s="1"/>
      <c r="B35" s="1"/>
      <c r="C35" s="1"/>
    </row>
    <row r="36" spans="1:3" ht="24" customHeight="1">
      <c r="A36" s="1"/>
      <c r="B36" s="1"/>
      <c r="C36" s="1"/>
    </row>
    <row r="37" spans="1:3" ht="24" customHeight="1">
      <c r="A37" s="1"/>
      <c r="B37" s="1"/>
      <c r="C37" s="1"/>
    </row>
    <row r="38" spans="1:3" ht="24" customHeight="1">
      <c r="A38" s="1"/>
      <c r="B38" s="1"/>
      <c r="C38" s="1"/>
    </row>
    <row r="39" spans="1:3" ht="24" customHeight="1">
      <c r="A39" s="1"/>
      <c r="B39" s="1"/>
      <c r="C39" s="1"/>
    </row>
    <row r="40" spans="1:3" ht="24" customHeight="1">
      <c r="A40" s="1"/>
      <c r="B40" s="1"/>
      <c r="C40" s="1"/>
    </row>
    <row r="41" spans="1:3" ht="24" customHeight="1">
      <c r="A41" s="1"/>
      <c r="B41" s="1"/>
      <c r="C41" s="1"/>
    </row>
    <row r="42" spans="1:3" ht="24" customHeight="1">
      <c r="A42" s="1"/>
      <c r="B42" s="1"/>
      <c r="C42" s="1"/>
    </row>
    <row r="43" spans="1:3" ht="24" customHeight="1">
      <c r="A43" s="1"/>
      <c r="B43" s="1"/>
      <c r="C43" s="1"/>
    </row>
    <row r="44" spans="1:3" ht="24" customHeight="1">
      <c r="A44" s="1"/>
      <c r="B44" s="1"/>
      <c r="C44" s="1"/>
    </row>
    <row r="45" spans="1:3" ht="24" customHeight="1">
      <c r="A45" s="1"/>
      <c r="B45" s="1"/>
      <c r="C45" s="1"/>
    </row>
    <row r="46" spans="1:3" ht="24" customHeight="1">
      <c r="A46" s="1"/>
      <c r="B46" s="1"/>
      <c r="C46" s="1"/>
    </row>
    <row r="47" spans="1:3" ht="24" customHeight="1">
      <c r="A47" s="1"/>
      <c r="B47" s="1"/>
      <c r="C47" s="1"/>
    </row>
    <row r="48" spans="1:3" ht="24" customHeight="1">
      <c r="A48" s="1"/>
      <c r="B48" s="1"/>
      <c r="C48" s="1"/>
    </row>
    <row r="49" spans="1:3" ht="24" customHeight="1">
      <c r="A49" s="1"/>
      <c r="B49" s="1"/>
      <c r="C49" s="1"/>
    </row>
    <row r="50" spans="1:3" ht="24" customHeight="1">
      <c r="A50" s="1"/>
      <c r="B50" s="1"/>
      <c r="C50" s="1"/>
    </row>
    <row r="51" spans="1:3" ht="24" customHeight="1">
      <c r="A51" s="1"/>
      <c r="B51" s="1"/>
      <c r="C51" s="1"/>
    </row>
    <row r="52" spans="1:3" ht="24" customHeight="1">
      <c r="A52" s="1"/>
      <c r="B52" s="1"/>
      <c r="C52" s="1"/>
    </row>
    <row r="53" spans="1:3" ht="24" customHeight="1">
      <c r="A53" s="1"/>
      <c r="B53" s="1"/>
      <c r="C53" s="1"/>
    </row>
    <row r="54" spans="1:3" ht="24" customHeight="1">
      <c r="A54" s="1"/>
      <c r="B54" s="1"/>
      <c r="C54" s="1"/>
    </row>
    <row r="55" spans="1:3" ht="24" customHeight="1">
      <c r="A55" s="1"/>
      <c r="B55" s="1"/>
      <c r="C55" s="1"/>
    </row>
  </sheetData>
  <mergeCells count="3">
    <mergeCell ref="B2:C2"/>
    <mergeCell ref="B4:C4"/>
    <mergeCell ref="B5:C5"/>
  </mergeCells>
  <hyperlinks>
    <hyperlink ref="C1" location="'01_Muc_luc'!A1" display="← Mục lục" xr:uid="{E142483E-BAF8-4667-99C1-63120E907992}"/>
  </hyperlinks>
  <pageMargins left="0.30555555555555558" right="0.30555555555555558" top="0.30555555555555558" bottom="0.30555555555555558" header="0.3" footer="0.3"/>
  <pageSetup paperSize="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EBDB2"/>
    <pageSetUpPr fitToPage="1"/>
  </sheetPr>
  <dimension ref="A1:G100"/>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11.19921875" customWidth="1"/>
    <col min="3" max="3" width="35" customWidth="1"/>
    <col min="4" max="4" width="31.19921875" customWidth="1"/>
    <col min="5" max="5" width="11.19921875" customWidth="1"/>
    <col min="6" max="6" width="19.3984375" customWidth="1"/>
    <col min="7" max="7" width="25.59765625" customWidth="1"/>
  </cols>
  <sheetData>
    <row r="1" spans="1:7" ht="24" customHeight="1">
      <c r="A1" s="1"/>
      <c r="B1" s="1"/>
      <c r="C1" s="1"/>
      <c r="D1" s="1"/>
      <c r="E1" s="1"/>
      <c r="F1" s="1"/>
      <c r="G1" s="10" t="s">
        <v>572</v>
      </c>
    </row>
    <row r="2" spans="1:7" ht="24" customHeight="1">
      <c r="A2" s="1"/>
      <c r="B2" s="16" t="s">
        <v>400</v>
      </c>
      <c r="C2" s="16"/>
      <c r="D2" s="16"/>
      <c r="E2" s="16"/>
      <c r="F2" s="16"/>
      <c r="G2" s="16"/>
    </row>
    <row r="3" spans="1:7" ht="24" customHeight="1">
      <c r="A3" s="1"/>
      <c r="B3" s="1"/>
      <c r="C3" s="1"/>
      <c r="D3" s="1"/>
      <c r="E3" s="1"/>
      <c r="F3" s="1"/>
      <c r="G3" s="1"/>
    </row>
    <row r="4" spans="1:7" ht="39" customHeight="1">
      <c r="A4" s="1"/>
      <c r="B4" s="17" t="s">
        <v>50</v>
      </c>
      <c r="C4" s="17"/>
      <c r="D4" s="17"/>
      <c r="E4" s="17"/>
      <c r="F4" s="17"/>
      <c r="G4" s="17"/>
    </row>
    <row r="5" spans="1:7" ht="30" customHeight="1">
      <c r="A5" s="1"/>
      <c r="B5" s="11" t="s">
        <v>401</v>
      </c>
      <c r="C5" s="11"/>
      <c r="D5" s="11"/>
      <c r="E5" s="11"/>
      <c r="F5" s="11"/>
      <c r="G5" s="11"/>
    </row>
    <row r="6" spans="1:7" ht="10.050000000000001" customHeight="1">
      <c r="A6" s="1"/>
      <c r="B6" s="2"/>
      <c r="C6" s="2"/>
      <c r="D6" s="2"/>
      <c r="E6" s="2"/>
      <c r="F6" s="2"/>
      <c r="G6" s="2"/>
    </row>
    <row r="7" spans="1:7" ht="12" customHeight="1">
      <c r="A7" s="1"/>
      <c r="B7" s="1"/>
      <c r="C7" s="1"/>
      <c r="D7" s="1"/>
      <c r="E7" s="1"/>
      <c r="F7" s="1"/>
      <c r="G7" s="1"/>
    </row>
    <row r="8" spans="1:7" ht="31.05" customHeight="1">
      <c r="A8" s="1"/>
      <c r="B8" s="3" t="s">
        <v>402</v>
      </c>
      <c r="C8" s="3" t="s">
        <v>50</v>
      </c>
      <c r="D8" s="3" t="s">
        <v>71</v>
      </c>
      <c r="E8" s="3" t="s">
        <v>70</v>
      </c>
      <c r="F8" s="3" t="s">
        <v>72</v>
      </c>
      <c r="G8" s="3" t="s">
        <v>403</v>
      </c>
    </row>
    <row r="9" spans="1:7" ht="34.950000000000003" customHeight="1">
      <c r="A9" s="1"/>
      <c r="B9" s="2" t="s">
        <v>404</v>
      </c>
      <c r="C9" s="2" t="s">
        <v>145</v>
      </c>
      <c r="D9" s="7" t="s">
        <v>405</v>
      </c>
      <c r="E9" s="2" t="s">
        <v>78</v>
      </c>
      <c r="F9" s="2"/>
      <c r="G9" s="2" t="s">
        <v>147</v>
      </c>
    </row>
    <row r="10" spans="1:7" ht="34.950000000000003" customHeight="1">
      <c r="A10" s="1"/>
      <c r="B10" s="2" t="s">
        <v>406</v>
      </c>
      <c r="C10" s="2" t="s">
        <v>407</v>
      </c>
      <c r="D10" s="7" t="s">
        <v>408</v>
      </c>
      <c r="E10" s="2" t="s">
        <v>76</v>
      </c>
      <c r="F10" s="2"/>
      <c r="G10" s="2"/>
    </row>
    <row r="11" spans="1:7" ht="34.950000000000003" customHeight="1">
      <c r="A11" s="1"/>
      <c r="B11" s="2" t="s">
        <v>409</v>
      </c>
      <c r="C11" s="2" t="s">
        <v>410</v>
      </c>
      <c r="D11" s="7" t="s">
        <v>408</v>
      </c>
      <c r="E11" s="2" t="s">
        <v>76</v>
      </c>
      <c r="F11" s="2"/>
      <c r="G11" s="2"/>
    </row>
    <row r="12" spans="1:7" ht="34.950000000000003" customHeight="1">
      <c r="A12" s="1"/>
      <c r="B12" s="2" t="s">
        <v>411</v>
      </c>
      <c r="C12" s="2" t="s">
        <v>412</v>
      </c>
      <c r="D12" s="7" t="s">
        <v>89</v>
      </c>
      <c r="E12" s="2" t="s">
        <v>78</v>
      </c>
      <c r="F12" s="2"/>
      <c r="G12" s="2" t="s">
        <v>413</v>
      </c>
    </row>
    <row r="13" spans="1:7" ht="34.950000000000003" customHeight="1">
      <c r="A13" s="1"/>
      <c r="B13" s="2" t="s">
        <v>414</v>
      </c>
      <c r="C13" s="2" t="s">
        <v>415</v>
      </c>
      <c r="D13" s="7" t="s">
        <v>89</v>
      </c>
      <c r="E13" s="2" t="s">
        <v>78</v>
      </c>
      <c r="F13" s="2"/>
      <c r="G13" s="2" t="s">
        <v>155</v>
      </c>
    </row>
    <row r="14" spans="1:7" ht="34.950000000000003" customHeight="1">
      <c r="A14" s="1"/>
      <c r="B14" s="2" t="s">
        <v>416</v>
      </c>
      <c r="C14" s="2" t="s">
        <v>156</v>
      </c>
      <c r="D14" s="7" t="s">
        <v>89</v>
      </c>
      <c r="E14" s="2" t="s">
        <v>78</v>
      </c>
      <c r="F14" s="2"/>
      <c r="G14" s="2" t="s">
        <v>100</v>
      </c>
    </row>
    <row r="15" spans="1:7" ht="34.950000000000003" customHeight="1">
      <c r="A15" s="1"/>
      <c r="B15" s="2" t="s">
        <v>417</v>
      </c>
      <c r="C15" s="2" t="s">
        <v>418</v>
      </c>
      <c r="D15" s="7" t="s">
        <v>419</v>
      </c>
      <c r="E15" s="2" t="s">
        <v>105</v>
      </c>
      <c r="F15" s="2"/>
      <c r="G15" s="2"/>
    </row>
    <row r="16" spans="1:7" ht="34.950000000000003" customHeight="1">
      <c r="A16" s="1"/>
      <c r="B16" s="2" t="s">
        <v>420</v>
      </c>
      <c r="C16" s="2" t="s">
        <v>421</v>
      </c>
      <c r="D16" s="7" t="s">
        <v>419</v>
      </c>
      <c r="E16" s="2" t="s">
        <v>105</v>
      </c>
      <c r="F16" s="2"/>
      <c r="G16" s="2"/>
    </row>
    <row r="17" spans="1:7" ht="34.950000000000003" customHeight="1">
      <c r="A17" s="1"/>
      <c r="B17" s="2" t="s">
        <v>422</v>
      </c>
      <c r="C17" s="2" t="s">
        <v>423</v>
      </c>
      <c r="D17" s="7" t="s">
        <v>419</v>
      </c>
      <c r="E17" s="2" t="s">
        <v>76</v>
      </c>
      <c r="F17" s="2"/>
      <c r="G17" s="2"/>
    </row>
    <row r="18" spans="1:7" ht="24" customHeight="1">
      <c r="A18" s="1"/>
      <c r="B18" s="1"/>
      <c r="C18" s="1"/>
      <c r="D18" s="8"/>
      <c r="E18" s="1"/>
      <c r="F18" s="1"/>
      <c r="G18" s="1"/>
    </row>
    <row r="19" spans="1:7" ht="24" customHeight="1">
      <c r="A19" s="1"/>
      <c r="B19" s="1"/>
      <c r="C19" s="1"/>
      <c r="D19" s="8"/>
      <c r="E19" s="1"/>
      <c r="F19" s="1"/>
      <c r="G19" s="1"/>
    </row>
    <row r="20" spans="1:7" ht="24" customHeight="1">
      <c r="A20" s="1"/>
      <c r="B20" s="1"/>
      <c r="C20" s="1"/>
      <c r="D20" s="8"/>
      <c r="E20" s="1"/>
      <c r="F20" s="1"/>
      <c r="G20" s="1"/>
    </row>
    <row r="21" spans="1:7" ht="24" customHeight="1">
      <c r="A21" s="1"/>
      <c r="B21" s="1"/>
      <c r="C21" s="1"/>
      <c r="D21" s="8"/>
      <c r="E21" s="1"/>
      <c r="F21" s="1"/>
      <c r="G21" s="1"/>
    </row>
    <row r="22" spans="1:7" ht="24" customHeight="1">
      <c r="A22" s="1"/>
      <c r="B22" s="1"/>
      <c r="C22" s="1"/>
      <c r="D22" s="8"/>
      <c r="E22" s="1"/>
      <c r="F22" s="1"/>
      <c r="G22" s="1"/>
    </row>
    <row r="23" spans="1:7" ht="24" customHeight="1">
      <c r="A23" s="1"/>
      <c r="B23" s="1"/>
      <c r="C23" s="1"/>
      <c r="D23" s="8"/>
      <c r="E23" s="1"/>
      <c r="F23" s="1"/>
      <c r="G23" s="1"/>
    </row>
    <row r="24" spans="1:7" ht="24" customHeight="1">
      <c r="A24" s="1"/>
      <c r="B24" s="1"/>
      <c r="C24" s="1"/>
      <c r="D24" s="8"/>
      <c r="E24" s="1"/>
      <c r="F24" s="1"/>
      <c r="G24" s="1"/>
    </row>
    <row r="25" spans="1:7" ht="24" customHeight="1">
      <c r="A25" s="1"/>
      <c r="B25" s="1"/>
      <c r="C25" s="1"/>
      <c r="D25" s="8"/>
      <c r="E25" s="1"/>
      <c r="F25" s="1"/>
      <c r="G25" s="1"/>
    </row>
    <row r="26" spans="1:7" ht="24" customHeight="1">
      <c r="A26" s="1"/>
      <c r="B26" s="1"/>
      <c r="C26" s="1"/>
      <c r="D26" s="8"/>
      <c r="E26" s="1"/>
      <c r="F26" s="1"/>
      <c r="G26" s="1"/>
    </row>
    <row r="27" spans="1:7" ht="24" customHeight="1">
      <c r="A27" s="1"/>
      <c r="B27" s="1"/>
      <c r="C27" s="1"/>
      <c r="D27" s="8"/>
      <c r="E27" s="1"/>
      <c r="F27" s="1"/>
      <c r="G27" s="1"/>
    </row>
    <row r="28" spans="1:7" ht="24" customHeight="1">
      <c r="A28" s="1"/>
      <c r="B28" s="1"/>
      <c r="C28" s="1"/>
      <c r="D28" s="8"/>
      <c r="E28" s="1"/>
      <c r="F28" s="1"/>
      <c r="G28" s="1"/>
    </row>
    <row r="29" spans="1:7" ht="24" customHeight="1">
      <c r="A29" s="1"/>
      <c r="B29" s="1"/>
      <c r="C29" s="1"/>
      <c r="D29" s="8"/>
      <c r="E29" s="1"/>
      <c r="F29" s="1"/>
      <c r="G29" s="1"/>
    </row>
    <row r="30" spans="1:7" ht="24" customHeight="1">
      <c r="A30" s="1"/>
      <c r="B30" s="1"/>
      <c r="C30" s="1"/>
      <c r="D30" s="8"/>
      <c r="E30" s="1"/>
      <c r="F30" s="1"/>
      <c r="G30" s="1"/>
    </row>
    <row r="31" spans="1:7" ht="24" customHeight="1">
      <c r="A31" s="1"/>
      <c r="B31" s="1"/>
      <c r="C31" s="1"/>
      <c r="D31" s="8"/>
      <c r="E31" s="1"/>
      <c r="F31" s="1"/>
      <c r="G31" s="1"/>
    </row>
    <row r="32" spans="1:7" ht="24" customHeight="1">
      <c r="A32" s="1"/>
      <c r="B32" s="1"/>
      <c r="C32" s="1"/>
      <c r="D32" s="8"/>
      <c r="E32" s="1"/>
      <c r="F32" s="1"/>
      <c r="G32" s="1"/>
    </row>
    <row r="33" spans="1:7" ht="24" customHeight="1">
      <c r="A33" s="1"/>
      <c r="B33" s="1"/>
      <c r="C33" s="1"/>
      <c r="D33" s="8"/>
      <c r="E33" s="1"/>
      <c r="F33" s="1"/>
      <c r="G33" s="1"/>
    </row>
    <row r="34" spans="1:7" ht="24" customHeight="1">
      <c r="A34" s="1"/>
      <c r="B34" s="1"/>
      <c r="C34" s="1"/>
      <c r="D34" s="8"/>
      <c r="E34" s="1"/>
      <c r="F34" s="1"/>
      <c r="G34" s="1"/>
    </row>
    <row r="35" spans="1:7" ht="24" customHeight="1">
      <c r="A35" s="1"/>
      <c r="B35" s="1"/>
      <c r="C35" s="1"/>
      <c r="D35" s="8"/>
      <c r="E35" s="1"/>
      <c r="F35" s="1"/>
      <c r="G35" s="1"/>
    </row>
    <row r="36" spans="1:7" ht="24" customHeight="1">
      <c r="A36" s="1"/>
      <c r="B36" s="1"/>
      <c r="C36" s="1"/>
      <c r="D36" s="8"/>
      <c r="E36" s="1"/>
      <c r="F36" s="1"/>
      <c r="G36" s="1"/>
    </row>
    <row r="37" spans="1:7" ht="24" customHeight="1">
      <c r="A37" s="1"/>
      <c r="B37" s="1"/>
      <c r="C37" s="1"/>
      <c r="D37" s="8"/>
      <c r="E37" s="1"/>
      <c r="F37" s="1"/>
      <c r="G37" s="1"/>
    </row>
    <row r="38" spans="1:7" ht="24" customHeight="1">
      <c r="A38" s="1"/>
      <c r="B38" s="1"/>
      <c r="C38" s="1"/>
      <c r="D38" s="8"/>
      <c r="E38" s="1"/>
      <c r="F38" s="1"/>
      <c r="G38" s="1"/>
    </row>
    <row r="39" spans="1:7" ht="24" customHeight="1">
      <c r="A39" s="1"/>
      <c r="B39" s="1"/>
      <c r="C39" s="1"/>
      <c r="D39" s="8"/>
      <c r="E39" s="1"/>
      <c r="F39" s="1"/>
      <c r="G39" s="1"/>
    </row>
    <row r="40" spans="1:7" ht="24" customHeight="1">
      <c r="A40" s="1"/>
      <c r="B40" s="1"/>
      <c r="C40" s="1"/>
      <c r="D40" s="8"/>
      <c r="E40" s="1"/>
      <c r="F40" s="1"/>
      <c r="G40" s="1"/>
    </row>
    <row r="41" spans="1:7" ht="24" customHeight="1">
      <c r="A41" s="1"/>
      <c r="B41" s="1"/>
      <c r="C41" s="1"/>
      <c r="D41" s="8"/>
      <c r="E41" s="1"/>
      <c r="F41" s="1"/>
      <c r="G41" s="1"/>
    </row>
    <row r="42" spans="1:7" ht="24" customHeight="1">
      <c r="A42" s="1"/>
      <c r="B42" s="1"/>
      <c r="C42" s="1"/>
      <c r="D42" s="8"/>
      <c r="E42" s="1"/>
      <c r="F42" s="1"/>
      <c r="G42" s="1"/>
    </row>
    <row r="43" spans="1:7" ht="24" customHeight="1">
      <c r="A43" s="1"/>
      <c r="B43" s="1"/>
      <c r="C43" s="1"/>
      <c r="D43" s="8"/>
      <c r="E43" s="1"/>
      <c r="F43" s="1"/>
      <c r="G43" s="1"/>
    </row>
    <row r="44" spans="1:7" ht="24" customHeight="1">
      <c r="A44" s="1"/>
      <c r="B44" s="1"/>
      <c r="C44" s="1"/>
      <c r="D44" s="8"/>
      <c r="E44" s="1"/>
      <c r="F44" s="1"/>
      <c r="G44" s="1"/>
    </row>
    <row r="45" spans="1:7" ht="24" customHeight="1">
      <c r="A45" s="1"/>
      <c r="B45" s="1"/>
      <c r="C45" s="1"/>
      <c r="D45" s="8"/>
      <c r="E45" s="1"/>
      <c r="F45" s="1"/>
      <c r="G45" s="1"/>
    </row>
    <row r="46" spans="1:7" ht="24" customHeight="1">
      <c r="A46" s="1"/>
      <c r="B46" s="1"/>
      <c r="C46" s="1"/>
      <c r="D46" s="8"/>
      <c r="E46" s="1"/>
      <c r="F46" s="1"/>
      <c r="G46" s="1"/>
    </row>
    <row r="47" spans="1:7" ht="24" customHeight="1">
      <c r="A47" s="1"/>
      <c r="B47" s="1"/>
      <c r="C47" s="1"/>
      <c r="D47" s="8"/>
      <c r="E47" s="1"/>
      <c r="F47" s="1"/>
      <c r="G47" s="1"/>
    </row>
    <row r="48" spans="1:7" ht="24" customHeight="1">
      <c r="A48" s="1"/>
      <c r="B48" s="1"/>
      <c r="C48" s="1"/>
      <c r="D48" s="8"/>
      <c r="E48" s="1"/>
      <c r="F48" s="1"/>
      <c r="G48" s="1"/>
    </row>
    <row r="49" spans="1:7" ht="24" customHeight="1">
      <c r="A49" s="1"/>
      <c r="B49" s="1"/>
      <c r="C49" s="1"/>
      <c r="D49" s="8"/>
      <c r="E49" s="1"/>
      <c r="F49" s="1"/>
      <c r="G49" s="1"/>
    </row>
    <row r="50" spans="1:7" ht="24" customHeight="1">
      <c r="A50" s="1"/>
      <c r="B50" s="1"/>
      <c r="C50" s="1"/>
      <c r="D50" s="8"/>
      <c r="E50" s="1"/>
      <c r="F50" s="1"/>
      <c r="G50" s="1"/>
    </row>
    <row r="51" spans="1:7" ht="24" customHeight="1">
      <c r="A51" s="1"/>
      <c r="B51" s="1"/>
      <c r="C51" s="1"/>
      <c r="D51" s="8"/>
      <c r="E51" s="1"/>
      <c r="F51" s="1"/>
      <c r="G51" s="1"/>
    </row>
    <row r="52" spans="1:7" ht="24" customHeight="1">
      <c r="A52" s="1"/>
      <c r="B52" s="1"/>
      <c r="C52" s="1"/>
      <c r="D52" s="8"/>
      <c r="E52" s="1"/>
      <c r="F52" s="1"/>
      <c r="G52" s="1"/>
    </row>
    <row r="53" spans="1:7" ht="24" customHeight="1">
      <c r="A53" s="1"/>
      <c r="B53" s="1"/>
      <c r="C53" s="1"/>
      <c r="D53" s="8"/>
      <c r="E53" s="1"/>
      <c r="F53" s="1"/>
      <c r="G53" s="1"/>
    </row>
    <row r="54" spans="1:7" ht="24" customHeight="1">
      <c r="A54" s="1"/>
      <c r="B54" s="1"/>
      <c r="C54" s="1"/>
      <c r="D54" s="8"/>
      <c r="E54" s="1"/>
      <c r="F54" s="1"/>
      <c r="G54" s="1"/>
    </row>
    <row r="55" spans="1:7" ht="24" customHeight="1">
      <c r="A55" s="1"/>
      <c r="B55" s="1"/>
      <c r="C55" s="1"/>
      <c r="D55" s="8"/>
      <c r="E55" s="1"/>
      <c r="F55" s="1"/>
      <c r="G55" s="1"/>
    </row>
    <row r="56" spans="1:7">
      <c r="D56" s="9"/>
    </row>
    <row r="57" spans="1:7">
      <c r="D57" s="9"/>
    </row>
    <row r="58" spans="1:7">
      <c r="D58" s="9"/>
    </row>
    <row r="59" spans="1:7">
      <c r="D59" s="9"/>
    </row>
    <row r="60" spans="1:7">
      <c r="D60" s="9"/>
    </row>
    <row r="61" spans="1:7">
      <c r="D61" s="9"/>
    </row>
    <row r="62" spans="1:7">
      <c r="D62" s="9"/>
    </row>
    <row r="63" spans="1:7">
      <c r="D63" s="9"/>
    </row>
    <row r="64" spans="1:7">
      <c r="D64" s="9"/>
    </row>
    <row r="65" spans="4:4">
      <c r="D65" s="9"/>
    </row>
    <row r="66" spans="4:4">
      <c r="D66" s="9"/>
    </row>
    <row r="67" spans="4:4">
      <c r="D67" s="9"/>
    </row>
    <row r="68" spans="4:4">
      <c r="D68" s="9"/>
    </row>
    <row r="69" spans="4:4">
      <c r="D69" s="9"/>
    </row>
    <row r="70" spans="4:4">
      <c r="D70" s="9"/>
    </row>
    <row r="71" spans="4:4">
      <c r="D71" s="9"/>
    </row>
    <row r="72" spans="4:4">
      <c r="D72" s="9"/>
    </row>
    <row r="73" spans="4:4">
      <c r="D73" s="9"/>
    </row>
    <row r="74" spans="4:4">
      <c r="D74" s="9"/>
    </row>
    <row r="75" spans="4:4">
      <c r="D75" s="9"/>
    </row>
    <row r="76" spans="4:4">
      <c r="D76" s="9"/>
    </row>
    <row r="77" spans="4:4">
      <c r="D77" s="9"/>
    </row>
    <row r="78" spans="4:4">
      <c r="D78" s="9"/>
    </row>
    <row r="79" spans="4:4">
      <c r="D79" s="9"/>
    </row>
    <row r="80" spans="4:4">
      <c r="D80" s="9"/>
    </row>
    <row r="81" spans="4:4">
      <c r="D81" s="9"/>
    </row>
    <row r="82" spans="4:4">
      <c r="D82" s="9"/>
    </row>
    <row r="83" spans="4:4">
      <c r="D83" s="9"/>
    </row>
    <row r="84" spans="4:4">
      <c r="D84" s="9"/>
    </row>
    <row r="85" spans="4:4">
      <c r="D85" s="9"/>
    </row>
    <row r="86" spans="4:4">
      <c r="D86" s="9"/>
    </row>
    <row r="87" spans="4:4">
      <c r="D87" s="9"/>
    </row>
    <row r="88" spans="4:4">
      <c r="D88" s="9"/>
    </row>
    <row r="89" spans="4:4">
      <c r="D89" s="9"/>
    </row>
    <row r="90" spans="4:4">
      <c r="D90" s="9"/>
    </row>
    <row r="91" spans="4:4">
      <c r="D91" s="9"/>
    </row>
    <row r="92" spans="4:4">
      <c r="D92" s="9"/>
    </row>
    <row r="93" spans="4:4">
      <c r="D93" s="9"/>
    </row>
    <row r="94" spans="4:4">
      <c r="D94" s="9"/>
    </row>
    <row r="95" spans="4:4">
      <c r="D95" s="9"/>
    </row>
    <row r="96" spans="4:4">
      <c r="D96" s="9"/>
    </row>
    <row r="97" spans="4:4">
      <c r="D97" s="9"/>
    </row>
    <row r="98" spans="4:4">
      <c r="D98" s="9"/>
    </row>
    <row r="99" spans="4:4">
      <c r="D99" s="9"/>
    </row>
    <row r="100" spans="4:4">
      <c r="D100" s="9"/>
    </row>
  </sheetData>
  <mergeCells count="3">
    <mergeCell ref="B2:G2"/>
    <mergeCell ref="B4:G4"/>
    <mergeCell ref="B5:G5"/>
  </mergeCells>
  <conditionalFormatting sqref="D9:D100">
    <cfRule type="cellIs" dxfId="57" priority="1" operator="equal">
      <formula>"ĐANG LÀM"</formula>
    </cfRule>
    <cfRule type="cellIs" dxfId="56" priority="2" operator="equal">
      <formula>"XONG"</formula>
    </cfRule>
    <cfRule type="cellIs" dxfId="55" priority="3" operator="equal">
      <formula>"PASS"</formula>
    </cfRule>
    <cfRule type="cellIs" dxfId="54" priority="4" operator="equal">
      <formula>"ĐÃ GIẢI QUYẾT"</formula>
    </cfRule>
    <cfRule type="cellIs" dxfId="53" priority="5" operator="equal">
      <formula>"BỊ CHẶN"</formula>
    </cfRule>
    <cfRule type="cellIs" dxfId="52" priority="6" operator="equal">
      <formula>"FAIL"</formula>
    </cfRule>
    <cfRule type="cellIs" dxfId="51" priority="7" operator="equal">
      <formula>"CHỜ"</formula>
    </cfRule>
    <cfRule type="cellIs" dxfId="50" priority="8" operator="equal">
      <formula>"CHỜ CHẠY"</formula>
    </cfRule>
    <cfRule type="cellIs" dxfId="49" priority="9" operator="equal">
      <formula>"MỞ"</formula>
    </cfRule>
    <cfRule type="cellIs" dxfId="48" priority="10" operator="equal">
      <formula>"TẠM HOÃN"</formula>
    </cfRule>
    <cfRule type="cellIs" dxfId="47" priority="11" operator="equal">
      <formula>"CHƯA LÀM"</formula>
    </cfRule>
    <cfRule type="cellIs" dxfId="46" priority="12" operator="equal">
      <formula>"PASS LỊCH SỬ"</formula>
    </cfRule>
    <cfRule type="cellIs" dxfId="45" priority="13" operator="equal">
      <formula>"TÌM THẤY / CHỜ CHẠY LẠI"</formula>
    </cfRule>
  </conditionalFormatting>
  <dataValidations count="1">
    <dataValidation type="list" sqref="D9:D100" xr:uid="{00000000-0002-0000-0E00-000000000000}">
      <formula1>"MỞ,BỊ CHẶN,TÌM THẤY / CHỜ CHẠY LẠI,ĐÃ GIẢI QUYẾT,TẠM HOÃN"</formula1>
    </dataValidation>
  </dataValidations>
  <hyperlinks>
    <hyperlink ref="G1" location="'01_Muc_luc'!A1" display="← Mục lục" xr:uid="{1AC92162-2E67-4017-849A-47DF25ADF0A5}"/>
  </hyperlinks>
  <pageMargins left="0.30555555555555558" right="0.30555555555555558" top="0.30555555555555558" bottom="0.30555555555555558" header="0.3" footer="0.3"/>
  <pageSetup paperSize="8"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EBDB2"/>
    <pageSetUpPr fitToPage="1"/>
  </sheetPr>
  <dimension ref="A1:F100"/>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10.59765625" customWidth="1"/>
    <col min="3" max="3" width="40.59765625" customWidth="1"/>
    <col min="4" max="4" width="43.09765625" customWidth="1"/>
    <col min="5" max="5" width="22.5" customWidth="1"/>
    <col min="6" max="6" width="16.8984375" customWidth="1"/>
  </cols>
  <sheetData>
    <row r="1" spans="1:6" ht="24" customHeight="1">
      <c r="A1" s="1"/>
      <c r="B1" s="1"/>
      <c r="C1" s="1"/>
      <c r="D1" s="1"/>
      <c r="E1" s="1"/>
      <c r="F1" s="10" t="s">
        <v>572</v>
      </c>
    </row>
    <row r="2" spans="1:6" ht="24" customHeight="1">
      <c r="A2" s="1"/>
      <c r="B2" s="16" t="s">
        <v>400</v>
      </c>
      <c r="C2" s="16"/>
      <c r="D2" s="16"/>
      <c r="E2" s="16"/>
      <c r="F2" s="16"/>
    </row>
    <row r="3" spans="1:6" ht="24" customHeight="1">
      <c r="A3" s="1"/>
      <c r="B3" s="1"/>
      <c r="C3" s="1"/>
      <c r="D3" s="1"/>
      <c r="E3" s="1"/>
      <c r="F3" s="1"/>
    </row>
    <row r="4" spans="1:6" ht="39" customHeight="1">
      <c r="A4" s="1"/>
      <c r="B4" s="17" t="s">
        <v>53</v>
      </c>
      <c r="C4" s="17"/>
      <c r="D4" s="17"/>
      <c r="E4" s="17"/>
      <c r="F4" s="17"/>
    </row>
    <row r="5" spans="1:6" ht="30" customHeight="1">
      <c r="A5" s="1"/>
      <c r="B5" s="11" t="s">
        <v>424</v>
      </c>
      <c r="C5" s="11"/>
      <c r="D5" s="11"/>
      <c r="E5" s="11"/>
      <c r="F5" s="11"/>
    </row>
    <row r="6" spans="1:6" ht="10.050000000000001" customHeight="1">
      <c r="A6" s="1"/>
      <c r="B6" s="2"/>
      <c r="C6" s="2"/>
      <c r="D6" s="2"/>
      <c r="E6" s="2"/>
      <c r="F6" s="2"/>
    </row>
    <row r="7" spans="1:6" ht="12" customHeight="1">
      <c r="A7" s="1"/>
      <c r="B7" s="1"/>
      <c r="C7" s="1"/>
      <c r="D7" s="1"/>
      <c r="E7" s="1"/>
      <c r="F7" s="1"/>
    </row>
    <row r="8" spans="1:6" ht="31.05" customHeight="1">
      <c r="A8" s="1"/>
      <c r="B8" s="3" t="s">
        <v>402</v>
      </c>
      <c r="C8" s="3" t="s">
        <v>425</v>
      </c>
      <c r="D8" s="3" t="s">
        <v>426</v>
      </c>
      <c r="E8" s="3" t="s">
        <v>427</v>
      </c>
      <c r="F8" s="3" t="s">
        <v>74</v>
      </c>
    </row>
    <row r="9" spans="1:6" ht="54" customHeight="1">
      <c r="A9" s="1"/>
      <c r="B9" s="2" t="s">
        <v>404</v>
      </c>
      <c r="C9" s="2" t="s">
        <v>428</v>
      </c>
      <c r="D9" s="2" t="s">
        <v>429</v>
      </c>
      <c r="E9" s="2"/>
      <c r="F9" s="4">
        <v>46292</v>
      </c>
    </row>
    <row r="10" spans="1:6" ht="54" customHeight="1">
      <c r="A10" s="1"/>
      <c r="B10" s="2" t="s">
        <v>406</v>
      </c>
      <c r="C10" s="2" t="s">
        <v>430</v>
      </c>
      <c r="D10" s="2" t="s">
        <v>573</v>
      </c>
      <c r="E10" s="2"/>
      <c r="F10" s="4">
        <v>46292</v>
      </c>
    </row>
    <row r="11" spans="1:6" ht="54" customHeight="1">
      <c r="A11" s="1"/>
      <c r="B11" s="2" t="s">
        <v>409</v>
      </c>
      <c r="C11" s="2" t="s">
        <v>431</v>
      </c>
      <c r="D11" s="2" t="s">
        <v>432</v>
      </c>
      <c r="E11" s="2"/>
      <c r="F11" s="4">
        <v>46292</v>
      </c>
    </row>
    <row r="12" spans="1:6" ht="54" customHeight="1">
      <c r="A12" s="1"/>
      <c r="B12" s="2" t="s">
        <v>411</v>
      </c>
      <c r="C12" s="2" t="s">
        <v>433</v>
      </c>
      <c r="D12" s="2" t="s">
        <v>434</v>
      </c>
      <c r="E12" s="2"/>
      <c r="F12" s="4">
        <v>46292</v>
      </c>
    </row>
    <row r="13" spans="1:6" ht="54" customHeight="1">
      <c r="A13" s="1"/>
      <c r="B13" s="2" t="s">
        <v>414</v>
      </c>
      <c r="C13" s="2" t="s">
        <v>435</v>
      </c>
      <c r="D13" s="2" t="s">
        <v>436</v>
      </c>
      <c r="E13" s="2"/>
      <c r="F13" s="4">
        <v>46292</v>
      </c>
    </row>
    <row r="14" spans="1:6" ht="54" customHeight="1">
      <c r="A14" s="1"/>
      <c r="B14" s="2" t="s">
        <v>416</v>
      </c>
      <c r="C14" s="2" t="s">
        <v>437</v>
      </c>
      <c r="D14" s="2" t="s">
        <v>438</v>
      </c>
      <c r="E14" s="2"/>
      <c r="F14" s="4">
        <v>46292</v>
      </c>
    </row>
    <row r="15" spans="1:6" ht="54" customHeight="1">
      <c r="A15" s="1"/>
      <c r="B15" s="2" t="s">
        <v>417</v>
      </c>
      <c r="C15" s="2" t="s">
        <v>439</v>
      </c>
      <c r="D15" s="2" t="s">
        <v>440</v>
      </c>
      <c r="E15" s="2" t="s">
        <v>441</v>
      </c>
      <c r="F15" s="4">
        <v>46289</v>
      </c>
    </row>
    <row r="16" spans="1:6" ht="54" customHeight="1">
      <c r="A16" s="1"/>
      <c r="B16" s="2" t="s">
        <v>420</v>
      </c>
      <c r="C16" s="2" t="s">
        <v>442</v>
      </c>
      <c r="D16" s="2" t="s">
        <v>443</v>
      </c>
      <c r="E16" s="2" t="s">
        <v>441</v>
      </c>
      <c r="F16" s="4">
        <v>46289</v>
      </c>
    </row>
    <row r="17" spans="1:6" ht="54" customHeight="1">
      <c r="A17" s="1"/>
      <c r="B17" s="2" t="s">
        <v>422</v>
      </c>
      <c r="C17" s="2" t="s">
        <v>444</v>
      </c>
      <c r="D17" s="2" t="s">
        <v>445</v>
      </c>
      <c r="E17" s="2" t="s">
        <v>446</v>
      </c>
      <c r="F17" s="4">
        <v>46291</v>
      </c>
    </row>
    <row r="18" spans="1:6" ht="24" customHeight="1">
      <c r="A18" s="1"/>
      <c r="B18" s="1"/>
      <c r="C18" s="1"/>
      <c r="D18" s="1"/>
      <c r="E18" s="1"/>
      <c r="F18" s="5"/>
    </row>
    <row r="19" spans="1:6" ht="24" customHeight="1">
      <c r="A19" s="1"/>
      <c r="B19" s="1"/>
      <c r="C19" s="1"/>
      <c r="D19" s="1"/>
      <c r="E19" s="1"/>
      <c r="F19" s="5"/>
    </row>
    <row r="20" spans="1:6" ht="24" customHeight="1">
      <c r="A20" s="1"/>
      <c r="B20" s="1"/>
      <c r="C20" s="1"/>
      <c r="D20" s="1"/>
      <c r="E20" s="1"/>
      <c r="F20" s="5"/>
    </row>
    <row r="21" spans="1:6" ht="24" customHeight="1">
      <c r="A21" s="1"/>
      <c r="B21" s="1"/>
      <c r="C21" s="1"/>
      <c r="D21" s="1"/>
      <c r="E21" s="1"/>
      <c r="F21" s="5"/>
    </row>
    <row r="22" spans="1:6" ht="24" customHeight="1">
      <c r="A22" s="1"/>
      <c r="B22" s="1"/>
      <c r="C22" s="1"/>
      <c r="D22" s="1"/>
      <c r="E22" s="1"/>
      <c r="F22" s="5"/>
    </row>
    <row r="23" spans="1:6" ht="24" customHeight="1">
      <c r="A23" s="1"/>
      <c r="B23" s="1"/>
      <c r="C23" s="1"/>
      <c r="D23" s="1"/>
      <c r="E23" s="1"/>
      <c r="F23" s="5"/>
    </row>
    <row r="24" spans="1:6" ht="24" customHeight="1">
      <c r="A24" s="1"/>
      <c r="B24" s="1"/>
      <c r="C24" s="1"/>
      <c r="D24" s="1"/>
      <c r="E24" s="1"/>
      <c r="F24" s="5"/>
    </row>
    <row r="25" spans="1:6" ht="24" customHeight="1">
      <c r="A25" s="1"/>
      <c r="B25" s="1"/>
      <c r="C25" s="1"/>
      <c r="D25" s="1"/>
      <c r="E25" s="1"/>
      <c r="F25" s="5"/>
    </row>
    <row r="26" spans="1:6" ht="24" customHeight="1">
      <c r="A26" s="1"/>
      <c r="B26" s="1"/>
      <c r="C26" s="1"/>
      <c r="D26" s="1"/>
      <c r="E26" s="1"/>
      <c r="F26" s="5"/>
    </row>
    <row r="27" spans="1:6" ht="24" customHeight="1">
      <c r="A27" s="1"/>
      <c r="B27" s="1"/>
      <c r="C27" s="1"/>
      <c r="D27" s="1"/>
      <c r="E27" s="1"/>
      <c r="F27" s="5"/>
    </row>
    <row r="28" spans="1:6" ht="24" customHeight="1">
      <c r="A28" s="1"/>
      <c r="B28" s="1"/>
      <c r="C28" s="1"/>
      <c r="D28" s="1"/>
      <c r="E28" s="1"/>
      <c r="F28" s="5"/>
    </row>
    <row r="29" spans="1:6" ht="24" customHeight="1">
      <c r="A29" s="1"/>
      <c r="B29" s="1"/>
      <c r="C29" s="1"/>
      <c r="D29" s="1"/>
      <c r="E29" s="1"/>
      <c r="F29" s="5"/>
    </row>
    <row r="30" spans="1:6" ht="24" customHeight="1">
      <c r="A30" s="1"/>
      <c r="B30" s="1"/>
      <c r="C30" s="1"/>
      <c r="D30" s="1"/>
      <c r="E30" s="1"/>
      <c r="F30" s="5"/>
    </row>
    <row r="31" spans="1:6" ht="24" customHeight="1">
      <c r="A31" s="1"/>
      <c r="B31" s="1"/>
      <c r="C31" s="1"/>
      <c r="D31" s="1"/>
      <c r="E31" s="1"/>
      <c r="F31" s="5"/>
    </row>
    <row r="32" spans="1:6" ht="24" customHeight="1">
      <c r="A32" s="1"/>
      <c r="B32" s="1"/>
      <c r="C32" s="1"/>
      <c r="D32" s="1"/>
      <c r="E32" s="1"/>
      <c r="F32" s="5"/>
    </row>
    <row r="33" spans="1:6" ht="24" customHeight="1">
      <c r="A33" s="1"/>
      <c r="B33" s="1"/>
      <c r="C33" s="1"/>
      <c r="D33" s="1"/>
      <c r="E33" s="1"/>
      <c r="F33" s="5"/>
    </row>
    <row r="34" spans="1:6" ht="24" customHeight="1">
      <c r="A34" s="1"/>
      <c r="B34" s="1"/>
      <c r="C34" s="1"/>
      <c r="D34" s="1"/>
      <c r="E34" s="1"/>
      <c r="F34" s="5"/>
    </row>
    <row r="35" spans="1:6" ht="24" customHeight="1">
      <c r="A35" s="1"/>
      <c r="B35" s="1"/>
      <c r="C35" s="1"/>
      <c r="D35" s="1"/>
      <c r="E35" s="1"/>
      <c r="F35" s="5"/>
    </row>
    <row r="36" spans="1:6" ht="24" customHeight="1">
      <c r="A36" s="1"/>
      <c r="B36" s="1"/>
      <c r="C36" s="1"/>
      <c r="D36" s="1"/>
      <c r="E36" s="1"/>
      <c r="F36" s="5"/>
    </row>
    <row r="37" spans="1:6" ht="24" customHeight="1">
      <c r="A37" s="1"/>
      <c r="B37" s="1"/>
      <c r="C37" s="1"/>
      <c r="D37" s="1"/>
      <c r="E37" s="1"/>
      <c r="F37" s="5"/>
    </row>
    <row r="38" spans="1:6" ht="24" customHeight="1">
      <c r="A38" s="1"/>
      <c r="B38" s="1"/>
      <c r="C38" s="1"/>
      <c r="D38" s="1"/>
      <c r="E38" s="1"/>
      <c r="F38" s="5"/>
    </row>
    <row r="39" spans="1:6" ht="24" customHeight="1">
      <c r="A39" s="1"/>
      <c r="B39" s="1"/>
      <c r="C39" s="1"/>
      <c r="D39" s="1"/>
      <c r="E39" s="1"/>
      <c r="F39" s="5"/>
    </row>
    <row r="40" spans="1:6" ht="24" customHeight="1">
      <c r="A40" s="1"/>
      <c r="B40" s="1"/>
      <c r="C40" s="1"/>
      <c r="D40" s="1"/>
      <c r="E40" s="1"/>
      <c r="F40" s="5"/>
    </row>
    <row r="41" spans="1:6" ht="24" customHeight="1">
      <c r="A41" s="1"/>
      <c r="B41" s="1"/>
      <c r="C41" s="1"/>
      <c r="D41" s="1"/>
      <c r="E41" s="1"/>
      <c r="F41" s="5"/>
    </row>
    <row r="42" spans="1:6" ht="24" customHeight="1">
      <c r="A42" s="1"/>
      <c r="B42" s="1"/>
      <c r="C42" s="1"/>
      <c r="D42" s="1"/>
      <c r="E42" s="1"/>
      <c r="F42" s="5"/>
    </row>
    <row r="43" spans="1:6" ht="24" customHeight="1">
      <c r="A43" s="1"/>
      <c r="B43" s="1"/>
      <c r="C43" s="1"/>
      <c r="D43" s="1"/>
      <c r="E43" s="1"/>
      <c r="F43" s="5"/>
    </row>
    <row r="44" spans="1:6" ht="24" customHeight="1">
      <c r="A44" s="1"/>
      <c r="B44" s="1"/>
      <c r="C44" s="1"/>
      <c r="D44" s="1"/>
      <c r="E44" s="1"/>
      <c r="F44" s="5"/>
    </row>
    <row r="45" spans="1:6" ht="24" customHeight="1">
      <c r="A45" s="1"/>
      <c r="B45" s="1"/>
      <c r="C45" s="1"/>
      <c r="D45" s="1"/>
      <c r="E45" s="1"/>
      <c r="F45" s="5"/>
    </row>
    <row r="46" spans="1:6" ht="24" customHeight="1">
      <c r="A46" s="1"/>
      <c r="B46" s="1"/>
      <c r="C46" s="1"/>
      <c r="D46" s="1"/>
      <c r="E46" s="1"/>
      <c r="F46" s="5"/>
    </row>
    <row r="47" spans="1:6" ht="24" customHeight="1">
      <c r="A47" s="1"/>
      <c r="B47" s="1"/>
      <c r="C47" s="1"/>
      <c r="D47" s="1"/>
      <c r="E47" s="1"/>
      <c r="F47" s="5"/>
    </row>
    <row r="48" spans="1:6" ht="24" customHeight="1">
      <c r="A48" s="1"/>
      <c r="B48" s="1"/>
      <c r="C48" s="1"/>
      <c r="D48" s="1"/>
      <c r="E48" s="1"/>
      <c r="F48" s="5"/>
    </row>
    <row r="49" spans="1:6" ht="24" customHeight="1">
      <c r="A49" s="1"/>
      <c r="B49" s="1"/>
      <c r="C49" s="1"/>
      <c r="D49" s="1"/>
      <c r="E49" s="1"/>
      <c r="F49" s="5"/>
    </row>
    <row r="50" spans="1:6" ht="24" customHeight="1">
      <c r="A50" s="1"/>
      <c r="B50" s="1"/>
      <c r="C50" s="1"/>
      <c r="D50" s="1"/>
      <c r="E50" s="1"/>
      <c r="F50" s="5"/>
    </row>
    <row r="51" spans="1:6" ht="24" customHeight="1">
      <c r="A51" s="1"/>
      <c r="B51" s="1"/>
      <c r="C51" s="1"/>
      <c r="D51" s="1"/>
      <c r="E51" s="1"/>
      <c r="F51" s="5"/>
    </row>
    <row r="52" spans="1:6" ht="24" customHeight="1">
      <c r="A52" s="1"/>
      <c r="B52" s="1"/>
      <c r="C52" s="1"/>
      <c r="D52" s="1"/>
      <c r="E52" s="1"/>
      <c r="F52" s="5"/>
    </row>
    <row r="53" spans="1:6" ht="24" customHeight="1">
      <c r="A53" s="1"/>
      <c r="B53" s="1"/>
      <c r="C53" s="1"/>
      <c r="D53" s="1"/>
      <c r="E53" s="1"/>
      <c r="F53" s="5"/>
    </row>
    <row r="54" spans="1:6" ht="24" customHeight="1">
      <c r="A54" s="1"/>
      <c r="B54" s="1"/>
      <c r="C54" s="1"/>
      <c r="D54" s="1"/>
      <c r="E54" s="1"/>
      <c r="F54" s="5"/>
    </row>
    <row r="55" spans="1:6" ht="24" customHeight="1">
      <c r="A55" s="1"/>
      <c r="B55" s="1"/>
      <c r="C55" s="1"/>
      <c r="D55" s="1"/>
      <c r="E55" s="1"/>
      <c r="F55" s="5"/>
    </row>
    <row r="56" spans="1:6">
      <c r="F56" s="6"/>
    </row>
    <row r="57" spans="1:6">
      <c r="F57" s="6"/>
    </row>
    <row r="58" spans="1:6">
      <c r="F58" s="6"/>
    </row>
    <row r="59" spans="1:6">
      <c r="F59" s="6"/>
    </row>
    <row r="60" spans="1:6">
      <c r="F60" s="6"/>
    </row>
    <row r="61" spans="1:6">
      <c r="F61" s="6"/>
    </row>
    <row r="62" spans="1:6">
      <c r="F62" s="6"/>
    </row>
    <row r="63" spans="1:6">
      <c r="F63" s="6"/>
    </row>
    <row r="64" spans="1:6">
      <c r="F64" s="6"/>
    </row>
    <row r="65" spans="6:6">
      <c r="F65" s="6"/>
    </row>
    <row r="66" spans="6:6">
      <c r="F66" s="6"/>
    </row>
    <row r="67" spans="6:6">
      <c r="F67" s="6"/>
    </row>
    <row r="68" spans="6:6">
      <c r="F68" s="6"/>
    </row>
    <row r="69" spans="6:6">
      <c r="F69" s="6"/>
    </row>
    <row r="70" spans="6:6">
      <c r="F70" s="6"/>
    </row>
    <row r="71" spans="6:6">
      <c r="F71" s="6"/>
    </row>
    <row r="72" spans="6:6">
      <c r="F72" s="6"/>
    </row>
    <row r="73" spans="6:6">
      <c r="F73" s="6"/>
    </row>
    <row r="74" spans="6:6">
      <c r="F74" s="6"/>
    </row>
    <row r="75" spans="6:6">
      <c r="F75" s="6"/>
    </row>
    <row r="76" spans="6:6">
      <c r="F76" s="6"/>
    </row>
    <row r="77" spans="6:6">
      <c r="F77" s="6"/>
    </row>
    <row r="78" spans="6:6">
      <c r="F78" s="6"/>
    </row>
    <row r="79" spans="6:6">
      <c r="F79" s="6"/>
    </row>
    <row r="80" spans="6:6">
      <c r="F80" s="6"/>
    </row>
    <row r="81" spans="6:6">
      <c r="F81" s="6"/>
    </row>
    <row r="82" spans="6:6">
      <c r="F82" s="6"/>
    </row>
    <row r="83" spans="6:6">
      <c r="F83" s="6"/>
    </row>
    <row r="84" spans="6:6">
      <c r="F84" s="6"/>
    </row>
    <row r="85" spans="6:6">
      <c r="F85" s="6"/>
    </row>
    <row r="86" spans="6:6">
      <c r="F86" s="6"/>
    </row>
    <row r="87" spans="6:6">
      <c r="F87" s="6"/>
    </row>
    <row r="88" spans="6:6">
      <c r="F88" s="6"/>
    </row>
    <row r="89" spans="6:6">
      <c r="F89" s="6"/>
    </row>
    <row r="90" spans="6:6">
      <c r="F90" s="6"/>
    </row>
    <row r="91" spans="6:6">
      <c r="F91" s="6"/>
    </row>
    <row r="92" spans="6:6">
      <c r="F92" s="6"/>
    </row>
    <row r="93" spans="6:6">
      <c r="F93" s="6"/>
    </row>
    <row r="94" spans="6:6">
      <c r="F94" s="6"/>
    </row>
    <row r="95" spans="6:6">
      <c r="F95" s="6"/>
    </row>
    <row r="96" spans="6:6">
      <c r="F96" s="6"/>
    </row>
    <row r="97" spans="6:6">
      <c r="F97" s="6"/>
    </row>
    <row r="98" spans="6:6">
      <c r="F98" s="6"/>
    </row>
    <row r="99" spans="6:6">
      <c r="F99" s="6"/>
    </row>
    <row r="100" spans="6:6">
      <c r="F100" s="6"/>
    </row>
  </sheetData>
  <mergeCells count="3">
    <mergeCell ref="B2:F2"/>
    <mergeCell ref="B4:F4"/>
    <mergeCell ref="B5:F5"/>
  </mergeCells>
  <hyperlinks>
    <hyperlink ref="F1" location="'01_Muc_luc'!A1" display="← Mục lục" xr:uid="{BFE910EB-DDAE-4C0C-86F6-F3216DF3B673}"/>
  </hyperlinks>
  <pageMargins left="0.30555555555555558" right="0.30555555555555558" top="0.30555555555555558" bottom="0.30555555555555558" header="0.3" footer="0.3"/>
  <pageSetup paperSize="8" orientation="landscape"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EBDB2"/>
    <pageSetUpPr fitToPage="1"/>
  </sheetPr>
  <dimension ref="A1:J100"/>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10" customWidth="1"/>
    <col min="3" max="3" width="11.8984375" customWidth="1"/>
    <col min="4" max="4" width="15.59765625" customWidth="1"/>
    <col min="5" max="5" width="30.59765625" customWidth="1"/>
    <col min="6" max="6" width="20" customWidth="1"/>
    <col min="7" max="7" width="19.3984375" customWidth="1"/>
    <col min="8" max="8" width="28.69921875" customWidth="1"/>
    <col min="9" max="10" width="15" customWidth="1"/>
  </cols>
  <sheetData>
    <row r="1" spans="1:10" ht="24" customHeight="1">
      <c r="A1" s="1"/>
      <c r="B1" s="1"/>
      <c r="C1" s="1"/>
      <c r="D1" s="1"/>
      <c r="E1" s="1"/>
      <c r="F1" s="1"/>
      <c r="G1" s="1"/>
      <c r="H1" s="1"/>
      <c r="I1" s="1"/>
      <c r="J1" s="10" t="s">
        <v>572</v>
      </c>
    </row>
    <row r="2" spans="1:10" ht="24" customHeight="1">
      <c r="A2" s="1"/>
      <c r="B2" s="16" t="s">
        <v>400</v>
      </c>
      <c r="C2" s="16"/>
      <c r="D2" s="16"/>
      <c r="E2" s="16"/>
      <c r="F2" s="16"/>
      <c r="G2" s="16"/>
      <c r="H2" s="16"/>
      <c r="I2" s="16"/>
      <c r="J2" s="16"/>
    </row>
    <row r="3" spans="1:10" ht="24" customHeight="1">
      <c r="A3" s="1"/>
      <c r="B3" s="1"/>
      <c r="C3" s="1"/>
      <c r="D3" s="1"/>
      <c r="E3" s="1"/>
      <c r="F3" s="1"/>
      <c r="G3" s="1"/>
      <c r="H3" s="1"/>
      <c r="I3" s="1"/>
      <c r="J3" s="1"/>
    </row>
    <row r="4" spans="1:10" ht="39" customHeight="1">
      <c r="A4" s="1"/>
      <c r="B4" s="17" t="s">
        <v>57</v>
      </c>
      <c r="C4" s="17"/>
      <c r="D4" s="17"/>
      <c r="E4" s="17"/>
      <c r="F4" s="17"/>
      <c r="G4" s="17"/>
      <c r="H4" s="17"/>
      <c r="I4" s="17"/>
      <c r="J4" s="17"/>
    </row>
    <row r="5" spans="1:10" ht="30" customHeight="1">
      <c r="A5" s="1"/>
      <c r="B5" s="11" t="s">
        <v>447</v>
      </c>
      <c r="C5" s="11"/>
      <c r="D5" s="11"/>
      <c r="E5" s="11"/>
      <c r="F5" s="11"/>
      <c r="G5" s="11"/>
      <c r="H5" s="11"/>
      <c r="I5" s="11"/>
      <c r="J5" s="11"/>
    </row>
    <row r="6" spans="1:10" ht="10.050000000000001" customHeight="1">
      <c r="A6" s="1"/>
      <c r="B6" s="2"/>
      <c r="C6" s="2"/>
      <c r="D6" s="2"/>
      <c r="E6" s="2"/>
      <c r="F6" s="2"/>
      <c r="G6" s="2"/>
      <c r="H6" s="2"/>
      <c r="I6" s="2"/>
      <c r="J6" s="2"/>
    </row>
    <row r="7" spans="1:10" ht="12" customHeight="1">
      <c r="A7" s="1"/>
      <c r="B7" s="1"/>
      <c r="C7" s="1"/>
      <c r="D7" s="1"/>
      <c r="E7" s="1"/>
      <c r="F7" s="1"/>
      <c r="G7" s="1"/>
      <c r="H7" s="1"/>
      <c r="I7" s="1"/>
      <c r="J7" s="1"/>
    </row>
    <row r="8" spans="1:10" ht="31.05" customHeight="1">
      <c r="A8" s="1"/>
      <c r="B8" s="3" t="s">
        <v>448</v>
      </c>
      <c r="C8" s="3" t="s">
        <v>449</v>
      </c>
      <c r="D8" s="3" t="s">
        <v>450</v>
      </c>
      <c r="E8" s="3" t="s">
        <v>451</v>
      </c>
      <c r="F8" s="3" t="s">
        <v>452</v>
      </c>
      <c r="G8" s="3" t="s">
        <v>453</v>
      </c>
      <c r="H8" s="3" t="s">
        <v>454</v>
      </c>
      <c r="I8" s="3" t="s">
        <v>71</v>
      </c>
      <c r="J8" s="3" t="s">
        <v>455</v>
      </c>
    </row>
    <row r="9" spans="1:10" ht="37.049999999999997" customHeight="1">
      <c r="A9" s="1"/>
      <c r="B9" s="2"/>
      <c r="C9" s="4"/>
      <c r="D9" s="2"/>
      <c r="E9" s="2"/>
      <c r="F9" s="2"/>
      <c r="G9" s="2"/>
      <c r="H9" s="2"/>
      <c r="I9" s="2"/>
      <c r="J9" s="2"/>
    </row>
    <row r="10" spans="1:10" ht="37.049999999999997" customHeight="1">
      <c r="A10" s="1"/>
      <c r="B10" s="2"/>
      <c r="C10" s="4"/>
      <c r="D10" s="2"/>
      <c r="E10" s="2"/>
      <c r="F10" s="2"/>
      <c r="G10" s="2"/>
      <c r="H10" s="2"/>
      <c r="I10" s="2"/>
      <c r="J10" s="2"/>
    </row>
    <row r="11" spans="1:10" ht="37.049999999999997" customHeight="1">
      <c r="A11" s="1"/>
      <c r="B11" s="2"/>
      <c r="C11" s="4"/>
      <c r="D11" s="2"/>
      <c r="E11" s="2"/>
      <c r="F11" s="2"/>
      <c r="G11" s="2"/>
      <c r="H11" s="2"/>
      <c r="I11" s="2"/>
      <c r="J11" s="2"/>
    </row>
    <row r="12" spans="1:10" ht="37.049999999999997" customHeight="1">
      <c r="A12" s="1"/>
      <c r="B12" s="2"/>
      <c r="C12" s="4"/>
      <c r="D12" s="2"/>
      <c r="E12" s="2"/>
      <c r="F12" s="2"/>
      <c r="G12" s="2"/>
      <c r="H12" s="2"/>
      <c r="I12" s="2"/>
      <c r="J12" s="2"/>
    </row>
    <row r="13" spans="1:10" ht="37.049999999999997" customHeight="1">
      <c r="A13" s="1"/>
      <c r="B13" s="2"/>
      <c r="C13" s="4"/>
      <c r="D13" s="2"/>
      <c r="E13" s="2"/>
      <c r="F13" s="2"/>
      <c r="G13" s="2"/>
      <c r="H13" s="2"/>
      <c r="I13" s="2"/>
      <c r="J13" s="2"/>
    </row>
    <row r="14" spans="1:10" ht="24" customHeight="1">
      <c r="A14" s="1"/>
      <c r="B14" s="1"/>
      <c r="C14" s="5"/>
      <c r="D14" s="1"/>
      <c r="E14" s="1"/>
      <c r="F14" s="1"/>
      <c r="G14" s="1"/>
      <c r="H14" s="1"/>
      <c r="I14" s="1"/>
      <c r="J14" s="1"/>
    </row>
    <row r="15" spans="1:10" ht="24" customHeight="1">
      <c r="A15" s="1"/>
      <c r="B15" s="1"/>
      <c r="C15" s="5"/>
      <c r="D15" s="1"/>
      <c r="E15" s="1"/>
      <c r="F15" s="1"/>
      <c r="G15" s="1"/>
      <c r="H15" s="1"/>
      <c r="I15" s="1"/>
      <c r="J15" s="1"/>
    </row>
    <row r="16" spans="1:10" ht="24" customHeight="1">
      <c r="A16" s="1"/>
      <c r="B16" s="1"/>
      <c r="C16" s="5"/>
      <c r="D16" s="1"/>
      <c r="E16" s="1"/>
      <c r="F16" s="1"/>
      <c r="G16" s="1"/>
      <c r="H16" s="1"/>
      <c r="I16" s="1"/>
      <c r="J16" s="1"/>
    </row>
    <row r="17" spans="1:10" ht="24" customHeight="1">
      <c r="A17" s="1"/>
      <c r="B17" s="1"/>
      <c r="C17" s="5"/>
      <c r="D17" s="1"/>
      <c r="E17" s="1"/>
      <c r="F17" s="1"/>
      <c r="G17" s="1"/>
      <c r="H17" s="1"/>
      <c r="I17" s="1"/>
      <c r="J17" s="1"/>
    </row>
    <row r="18" spans="1:10" ht="24" customHeight="1">
      <c r="A18" s="1"/>
      <c r="B18" s="1"/>
      <c r="C18" s="5"/>
      <c r="D18" s="1"/>
      <c r="E18" s="1"/>
      <c r="F18" s="1"/>
      <c r="G18" s="1"/>
      <c r="H18" s="1"/>
      <c r="I18" s="1"/>
      <c r="J18" s="1"/>
    </row>
    <row r="19" spans="1:10" ht="24" customHeight="1">
      <c r="A19" s="1"/>
      <c r="B19" s="1"/>
      <c r="C19" s="5"/>
      <c r="D19" s="1"/>
      <c r="E19" s="1"/>
      <c r="F19" s="1"/>
      <c r="G19" s="1"/>
      <c r="H19" s="1"/>
      <c r="I19" s="1"/>
      <c r="J19" s="1"/>
    </row>
    <row r="20" spans="1:10" ht="24" customHeight="1">
      <c r="A20" s="1"/>
      <c r="B20" s="1"/>
      <c r="C20" s="5"/>
      <c r="D20" s="1"/>
      <c r="E20" s="1"/>
      <c r="F20" s="1"/>
      <c r="G20" s="1"/>
      <c r="H20" s="1"/>
      <c r="I20" s="1"/>
      <c r="J20" s="1"/>
    </row>
    <row r="21" spans="1:10" ht="24" customHeight="1">
      <c r="A21" s="1"/>
      <c r="B21" s="1"/>
      <c r="C21" s="5"/>
      <c r="D21" s="1"/>
      <c r="E21" s="1"/>
      <c r="F21" s="1"/>
      <c r="G21" s="1"/>
      <c r="H21" s="1"/>
      <c r="I21" s="1"/>
      <c r="J21" s="1"/>
    </row>
    <row r="22" spans="1:10" ht="24" customHeight="1">
      <c r="A22" s="1"/>
      <c r="B22" s="1"/>
      <c r="C22" s="5"/>
      <c r="D22" s="1"/>
      <c r="E22" s="1"/>
      <c r="F22" s="1"/>
      <c r="G22" s="1"/>
      <c r="H22" s="1"/>
      <c r="I22" s="1"/>
      <c r="J22" s="1"/>
    </row>
    <row r="23" spans="1:10" ht="24" customHeight="1">
      <c r="A23" s="1"/>
      <c r="B23" s="1"/>
      <c r="C23" s="5"/>
      <c r="D23" s="1"/>
      <c r="E23" s="1"/>
      <c r="F23" s="1"/>
      <c r="G23" s="1"/>
      <c r="H23" s="1"/>
      <c r="I23" s="1"/>
      <c r="J23" s="1"/>
    </row>
    <row r="24" spans="1:10" ht="24" customHeight="1">
      <c r="A24" s="1"/>
      <c r="B24" s="1"/>
      <c r="C24" s="5"/>
      <c r="D24" s="1"/>
      <c r="E24" s="1"/>
      <c r="F24" s="1"/>
      <c r="G24" s="1"/>
      <c r="H24" s="1"/>
      <c r="I24" s="1"/>
      <c r="J24" s="1"/>
    </row>
    <row r="25" spans="1:10" ht="24" customHeight="1">
      <c r="A25" s="1"/>
      <c r="B25" s="1"/>
      <c r="C25" s="5"/>
      <c r="D25" s="1"/>
      <c r="E25" s="1"/>
      <c r="F25" s="1"/>
      <c r="G25" s="1"/>
      <c r="H25" s="1"/>
      <c r="I25" s="1"/>
      <c r="J25" s="1"/>
    </row>
    <row r="26" spans="1:10" ht="24" customHeight="1">
      <c r="A26" s="1"/>
      <c r="B26" s="1"/>
      <c r="C26" s="5"/>
      <c r="D26" s="1"/>
      <c r="E26" s="1"/>
      <c r="F26" s="1"/>
      <c r="G26" s="1"/>
      <c r="H26" s="1"/>
      <c r="I26" s="1"/>
      <c r="J26" s="1"/>
    </row>
    <row r="27" spans="1:10" ht="24" customHeight="1">
      <c r="A27" s="1"/>
      <c r="B27" s="1"/>
      <c r="C27" s="5"/>
      <c r="D27" s="1"/>
      <c r="E27" s="1"/>
      <c r="F27" s="1"/>
      <c r="G27" s="1"/>
      <c r="H27" s="1"/>
      <c r="I27" s="1"/>
      <c r="J27" s="1"/>
    </row>
    <row r="28" spans="1:10" ht="24" customHeight="1">
      <c r="A28" s="1"/>
      <c r="B28" s="1"/>
      <c r="C28" s="5"/>
      <c r="D28" s="1"/>
      <c r="E28" s="1"/>
      <c r="F28" s="1"/>
      <c r="G28" s="1"/>
      <c r="H28" s="1"/>
      <c r="I28" s="1"/>
      <c r="J28" s="1"/>
    </row>
    <row r="29" spans="1:10" ht="24" customHeight="1">
      <c r="A29" s="1"/>
      <c r="B29" s="1"/>
      <c r="C29" s="5"/>
      <c r="D29" s="1"/>
      <c r="E29" s="1"/>
      <c r="F29" s="1"/>
      <c r="G29" s="1"/>
      <c r="H29" s="1"/>
      <c r="I29" s="1"/>
      <c r="J29" s="1"/>
    </row>
    <row r="30" spans="1:10" ht="24" customHeight="1">
      <c r="A30" s="1"/>
      <c r="B30" s="1"/>
      <c r="C30" s="5"/>
      <c r="D30" s="1"/>
      <c r="E30" s="1"/>
      <c r="F30" s="1"/>
      <c r="G30" s="1"/>
      <c r="H30" s="1"/>
      <c r="I30" s="1"/>
      <c r="J30" s="1"/>
    </row>
    <row r="31" spans="1:10" ht="24" customHeight="1">
      <c r="A31" s="1"/>
      <c r="B31" s="1"/>
      <c r="C31" s="5"/>
      <c r="D31" s="1"/>
      <c r="E31" s="1"/>
      <c r="F31" s="1"/>
      <c r="G31" s="1"/>
      <c r="H31" s="1"/>
      <c r="I31" s="1"/>
      <c r="J31" s="1"/>
    </row>
    <row r="32" spans="1:10" ht="24" customHeight="1">
      <c r="A32" s="1"/>
      <c r="B32" s="1"/>
      <c r="C32" s="5"/>
      <c r="D32" s="1"/>
      <c r="E32" s="1"/>
      <c r="F32" s="1"/>
      <c r="G32" s="1"/>
      <c r="H32" s="1"/>
      <c r="I32" s="1"/>
      <c r="J32" s="1"/>
    </row>
    <row r="33" spans="1:10" ht="24" customHeight="1">
      <c r="A33" s="1"/>
      <c r="B33" s="1"/>
      <c r="C33" s="5"/>
      <c r="D33" s="1"/>
      <c r="E33" s="1"/>
      <c r="F33" s="1"/>
      <c r="G33" s="1"/>
      <c r="H33" s="1"/>
      <c r="I33" s="1"/>
      <c r="J33" s="1"/>
    </row>
    <row r="34" spans="1:10" ht="24" customHeight="1">
      <c r="A34" s="1"/>
      <c r="B34" s="1"/>
      <c r="C34" s="5"/>
      <c r="D34" s="1"/>
      <c r="E34" s="1"/>
      <c r="F34" s="1"/>
      <c r="G34" s="1"/>
      <c r="H34" s="1"/>
      <c r="I34" s="1"/>
      <c r="J34" s="1"/>
    </row>
    <row r="35" spans="1:10" ht="24" customHeight="1">
      <c r="A35" s="1"/>
      <c r="B35" s="1"/>
      <c r="C35" s="5"/>
      <c r="D35" s="1"/>
      <c r="E35" s="1"/>
      <c r="F35" s="1"/>
      <c r="G35" s="1"/>
      <c r="H35" s="1"/>
      <c r="I35" s="1"/>
      <c r="J35" s="1"/>
    </row>
    <row r="36" spans="1:10" ht="24" customHeight="1">
      <c r="A36" s="1"/>
      <c r="B36" s="1"/>
      <c r="C36" s="5"/>
      <c r="D36" s="1"/>
      <c r="E36" s="1"/>
      <c r="F36" s="1"/>
      <c r="G36" s="1"/>
      <c r="H36" s="1"/>
      <c r="I36" s="1"/>
      <c r="J36" s="1"/>
    </row>
    <row r="37" spans="1:10" ht="24" customHeight="1">
      <c r="A37" s="1"/>
      <c r="B37" s="1"/>
      <c r="C37" s="5"/>
      <c r="D37" s="1"/>
      <c r="E37" s="1"/>
      <c r="F37" s="1"/>
      <c r="G37" s="1"/>
      <c r="H37" s="1"/>
      <c r="I37" s="1"/>
      <c r="J37" s="1"/>
    </row>
    <row r="38" spans="1:10" ht="24" customHeight="1">
      <c r="A38" s="1"/>
      <c r="B38" s="1"/>
      <c r="C38" s="5"/>
      <c r="D38" s="1"/>
      <c r="E38" s="1"/>
      <c r="F38" s="1"/>
      <c r="G38" s="1"/>
      <c r="H38" s="1"/>
      <c r="I38" s="1"/>
      <c r="J38" s="1"/>
    </row>
    <row r="39" spans="1:10" ht="24" customHeight="1">
      <c r="A39" s="1"/>
      <c r="B39" s="1"/>
      <c r="C39" s="5"/>
      <c r="D39" s="1"/>
      <c r="E39" s="1"/>
      <c r="F39" s="1"/>
      <c r="G39" s="1"/>
      <c r="H39" s="1"/>
      <c r="I39" s="1"/>
      <c r="J39" s="1"/>
    </row>
    <row r="40" spans="1:10" ht="24" customHeight="1">
      <c r="A40" s="1"/>
      <c r="B40" s="1"/>
      <c r="C40" s="5"/>
      <c r="D40" s="1"/>
      <c r="E40" s="1"/>
      <c r="F40" s="1"/>
      <c r="G40" s="1"/>
      <c r="H40" s="1"/>
      <c r="I40" s="1"/>
      <c r="J40" s="1"/>
    </row>
    <row r="41" spans="1:10" ht="24" customHeight="1">
      <c r="A41" s="1"/>
      <c r="B41" s="1"/>
      <c r="C41" s="5"/>
      <c r="D41" s="1"/>
      <c r="E41" s="1"/>
      <c r="F41" s="1"/>
      <c r="G41" s="1"/>
      <c r="H41" s="1"/>
      <c r="I41" s="1"/>
      <c r="J41" s="1"/>
    </row>
    <row r="42" spans="1:10" ht="24" customHeight="1">
      <c r="A42" s="1"/>
      <c r="B42" s="1"/>
      <c r="C42" s="5"/>
      <c r="D42" s="1"/>
      <c r="E42" s="1"/>
      <c r="F42" s="1"/>
      <c r="G42" s="1"/>
      <c r="H42" s="1"/>
      <c r="I42" s="1"/>
      <c r="J42" s="1"/>
    </row>
    <row r="43" spans="1:10" ht="24" customHeight="1">
      <c r="A43" s="1"/>
      <c r="B43" s="1"/>
      <c r="C43" s="5"/>
      <c r="D43" s="1"/>
      <c r="E43" s="1"/>
      <c r="F43" s="1"/>
      <c r="G43" s="1"/>
      <c r="H43" s="1"/>
      <c r="I43" s="1"/>
      <c r="J43" s="1"/>
    </row>
    <row r="44" spans="1:10" ht="24" customHeight="1">
      <c r="A44" s="1"/>
      <c r="B44" s="1"/>
      <c r="C44" s="5"/>
      <c r="D44" s="1"/>
      <c r="E44" s="1"/>
      <c r="F44" s="1"/>
      <c r="G44" s="1"/>
      <c r="H44" s="1"/>
      <c r="I44" s="1"/>
      <c r="J44" s="1"/>
    </row>
    <row r="45" spans="1:10" ht="24" customHeight="1">
      <c r="A45" s="1"/>
      <c r="B45" s="1"/>
      <c r="C45" s="5"/>
      <c r="D45" s="1"/>
      <c r="E45" s="1"/>
      <c r="F45" s="1"/>
      <c r="G45" s="1"/>
      <c r="H45" s="1"/>
      <c r="I45" s="1"/>
      <c r="J45" s="1"/>
    </row>
    <row r="46" spans="1:10" ht="24" customHeight="1">
      <c r="A46" s="1"/>
      <c r="B46" s="1"/>
      <c r="C46" s="5"/>
      <c r="D46" s="1"/>
      <c r="E46" s="1"/>
      <c r="F46" s="1"/>
      <c r="G46" s="1"/>
      <c r="H46" s="1"/>
      <c r="I46" s="1"/>
      <c r="J46" s="1"/>
    </row>
    <row r="47" spans="1:10" ht="24" customHeight="1">
      <c r="A47" s="1"/>
      <c r="B47" s="1"/>
      <c r="C47" s="5"/>
      <c r="D47" s="1"/>
      <c r="E47" s="1"/>
      <c r="F47" s="1"/>
      <c r="G47" s="1"/>
      <c r="H47" s="1"/>
      <c r="I47" s="1"/>
      <c r="J47" s="1"/>
    </row>
    <row r="48" spans="1:10" ht="24" customHeight="1">
      <c r="A48" s="1"/>
      <c r="B48" s="1"/>
      <c r="C48" s="5"/>
      <c r="D48" s="1"/>
      <c r="E48" s="1"/>
      <c r="F48" s="1"/>
      <c r="G48" s="1"/>
      <c r="H48" s="1"/>
      <c r="I48" s="1"/>
      <c r="J48" s="1"/>
    </row>
    <row r="49" spans="1:10" ht="24" customHeight="1">
      <c r="A49" s="1"/>
      <c r="B49" s="1"/>
      <c r="C49" s="5"/>
      <c r="D49" s="1"/>
      <c r="E49" s="1"/>
      <c r="F49" s="1"/>
      <c r="G49" s="1"/>
      <c r="H49" s="1"/>
      <c r="I49" s="1"/>
      <c r="J49" s="1"/>
    </row>
    <row r="50" spans="1:10" ht="24" customHeight="1">
      <c r="A50" s="1"/>
      <c r="B50" s="1"/>
      <c r="C50" s="5"/>
      <c r="D50" s="1"/>
      <c r="E50" s="1"/>
      <c r="F50" s="1"/>
      <c r="G50" s="1"/>
      <c r="H50" s="1"/>
      <c r="I50" s="1"/>
      <c r="J50" s="1"/>
    </row>
    <row r="51" spans="1:10" ht="24" customHeight="1">
      <c r="A51" s="1"/>
      <c r="B51" s="1"/>
      <c r="C51" s="5"/>
      <c r="D51" s="1"/>
      <c r="E51" s="1"/>
      <c r="F51" s="1"/>
      <c r="G51" s="1"/>
      <c r="H51" s="1"/>
      <c r="I51" s="1"/>
      <c r="J51" s="1"/>
    </row>
    <row r="52" spans="1:10" ht="24" customHeight="1">
      <c r="A52" s="1"/>
      <c r="B52" s="1"/>
      <c r="C52" s="5"/>
      <c r="D52" s="1"/>
      <c r="E52" s="1"/>
      <c r="F52" s="1"/>
      <c r="G52" s="1"/>
      <c r="H52" s="1"/>
      <c r="I52" s="1"/>
      <c r="J52" s="1"/>
    </row>
    <row r="53" spans="1:10" ht="24" customHeight="1">
      <c r="A53" s="1"/>
      <c r="B53" s="1"/>
      <c r="C53" s="5"/>
      <c r="D53" s="1"/>
      <c r="E53" s="1"/>
      <c r="F53" s="1"/>
      <c r="G53" s="1"/>
      <c r="H53" s="1"/>
      <c r="I53" s="1"/>
      <c r="J53" s="1"/>
    </row>
    <row r="54" spans="1:10" ht="24" customHeight="1">
      <c r="A54" s="1"/>
      <c r="B54" s="1"/>
      <c r="C54" s="5"/>
      <c r="D54" s="1"/>
      <c r="E54" s="1"/>
      <c r="F54" s="1"/>
      <c r="G54" s="1"/>
      <c r="H54" s="1"/>
      <c r="I54" s="1"/>
      <c r="J54" s="1"/>
    </row>
    <row r="55" spans="1:10" ht="24" customHeight="1">
      <c r="A55" s="1"/>
      <c r="B55" s="1"/>
      <c r="C55" s="5"/>
      <c r="D55" s="1"/>
      <c r="E55" s="1"/>
      <c r="F55" s="1"/>
      <c r="G55" s="1"/>
      <c r="H55" s="1"/>
      <c r="I55" s="1"/>
      <c r="J55" s="1"/>
    </row>
    <row r="56" spans="1:10">
      <c r="C56" s="6"/>
    </row>
    <row r="57" spans="1:10">
      <c r="C57" s="6"/>
    </row>
    <row r="58" spans="1:10">
      <c r="C58" s="6"/>
    </row>
    <row r="59" spans="1:10">
      <c r="C59" s="6"/>
    </row>
    <row r="60" spans="1:10">
      <c r="C60" s="6"/>
    </row>
    <row r="61" spans="1:10">
      <c r="C61" s="6"/>
    </row>
    <row r="62" spans="1:10">
      <c r="C62" s="6"/>
    </row>
    <row r="63" spans="1:10">
      <c r="C63" s="6"/>
    </row>
    <row r="64" spans="1:10">
      <c r="C64" s="6"/>
    </row>
    <row r="65" spans="3:3">
      <c r="C65" s="6"/>
    </row>
    <row r="66" spans="3:3">
      <c r="C66" s="6"/>
    </row>
    <row r="67" spans="3:3">
      <c r="C67" s="6"/>
    </row>
    <row r="68" spans="3:3">
      <c r="C68" s="6"/>
    </row>
    <row r="69" spans="3:3">
      <c r="C69" s="6"/>
    </row>
    <row r="70" spans="3:3">
      <c r="C70" s="6"/>
    </row>
    <row r="71" spans="3:3">
      <c r="C71" s="6"/>
    </row>
    <row r="72" spans="3:3">
      <c r="C72" s="6"/>
    </row>
    <row r="73" spans="3:3">
      <c r="C73" s="6"/>
    </row>
    <row r="74" spans="3:3">
      <c r="C74" s="6"/>
    </row>
    <row r="75" spans="3:3">
      <c r="C75" s="6"/>
    </row>
    <row r="76" spans="3:3">
      <c r="C76" s="6"/>
    </row>
    <row r="77" spans="3:3">
      <c r="C77" s="6"/>
    </row>
    <row r="78" spans="3:3">
      <c r="C78" s="6"/>
    </row>
    <row r="79" spans="3:3">
      <c r="C79" s="6"/>
    </row>
    <row r="80" spans="3:3">
      <c r="C80" s="6"/>
    </row>
    <row r="81" spans="3:3">
      <c r="C81" s="6"/>
    </row>
    <row r="82" spans="3:3">
      <c r="C82" s="6"/>
    </row>
    <row r="83" spans="3:3">
      <c r="C83" s="6"/>
    </row>
    <row r="84" spans="3:3">
      <c r="C84" s="6"/>
    </row>
    <row r="85" spans="3:3">
      <c r="C85" s="6"/>
    </row>
    <row r="86" spans="3:3">
      <c r="C86" s="6"/>
    </row>
    <row r="87" spans="3:3">
      <c r="C87" s="6"/>
    </row>
    <row r="88" spans="3:3">
      <c r="C88" s="6"/>
    </row>
    <row r="89" spans="3:3">
      <c r="C89" s="6"/>
    </row>
    <row r="90" spans="3:3">
      <c r="C90" s="6"/>
    </row>
    <row r="91" spans="3:3">
      <c r="C91" s="6"/>
    </row>
    <row r="92" spans="3:3">
      <c r="C92" s="6"/>
    </row>
    <row r="93" spans="3:3">
      <c r="C93" s="6"/>
    </row>
    <row r="94" spans="3:3">
      <c r="C94" s="6"/>
    </row>
    <row r="95" spans="3:3">
      <c r="C95" s="6"/>
    </row>
    <row r="96" spans="3:3">
      <c r="C96" s="6"/>
    </row>
    <row r="97" spans="3:3">
      <c r="C97" s="6"/>
    </row>
    <row r="98" spans="3:3">
      <c r="C98" s="6"/>
    </row>
    <row r="99" spans="3:3">
      <c r="C99" s="6"/>
    </row>
    <row r="100" spans="3:3">
      <c r="C100" s="6"/>
    </row>
  </sheetData>
  <mergeCells count="3">
    <mergeCell ref="B2:J2"/>
    <mergeCell ref="B4:J4"/>
    <mergeCell ref="B5:J5"/>
  </mergeCells>
  <dataValidations count="1">
    <dataValidation type="list" sqref="I9:I100" xr:uid="{00000000-0002-0000-1000-000000000000}">
      <formula1>"NHÁP,ĐANG XEM,ĐÃ DUYỆT,TỪ CHỐI,ĐÃ TRIỂN KHAI,HỦY"</formula1>
    </dataValidation>
  </dataValidations>
  <hyperlinks>
    <hyperlink ref="J1" location="'01_Muc_luc'!A1" display="← Mục lục" xr:uid="{B910D97B-2921-4EFE-AA48-8519A0207B4D}"/>
  </hyperlinks>
  <pageMargins left="0.30555555555555558" right="0.30555555555555558" top="0.30555555555555558" bottom="0.30555555555555558" header="0.3" footer="0.3"/>
  <pageSetup paperSize="8"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EBDB2"/>
    <pageSetUpPr fitToPage="1"/>
  </sheetPr>
  <dimension ref="A1:F55"/>
  <sheetViews>
    <sheetView showGridLines="0" showRowColHeaders="0" zoomScaleNormal="100" workbookViewId="0"/>
  </sheetViews>
  <sheetFormatPr defaultRowHeight="13.8"/>
  <cols>
    <col min="1" max="1" width="3.5" customWidth="1"/>
    <col min="2" max="2" width="18.69921875" customWidth="1"/>
    <col min="3" max="3" width="48.09765625" customWidth="1"/>
    <col min="4" max="4" width="3.69921875" customWidth="1"/>
    <col min="5" max="5" width="18.69921875" customWidth="1"/>
    <col min="6" max="6" width="48.09765625" customWidth="1"/>
  </cols>
  <sheetData>
    <row r="1" spans="1:6" ht="24" customHeight="1">
      <c r="A1" s="1"/>
      <c r="B1" s="1"/>
      <c r="C1" s="1"/>
      <c r="D1" s="1"/>
      <c r="E1" s="1"/>
      <c r="F1" s="10" t="s">
        <v>572</v>
      </c>
    </row>
    <row r="2" spans="1:6" ht="24" customHeight="1">
      <c r="A2" s="1"/>
      <c r="B2" s="16" t="s">
        <v>400</v>
      </c>
      <c r="C2" s="16"/>
      <c r="D2" s="16"/>
      <c r="E2" s="16"/>
      <c r="F2" s="16"/>
    </row>
    <row r="3" spans="1:6" ht="24" customHeight="1">
      <c r="A3" s="1"/>
      <c r="B3" s="1"/>
      <c r="C3" s="1"/>
      <c r="D3" s="1"/>
      <c r="E3" s="1"/>
      <c r="F3" s="1"/>
    </row>
    <row r="4" spans="1:6" ht="39" customHeight="1">
      <c r="A4" s="1"/>
      <c r="B4" s="17" t="s">
        <v>61</v>
      </c>
      <c r="C4" s="17"/>
      <c r="D4" s="17"/>
      <c r="E4" s="17"/>
      <c r="F4" s="17"/>
    </row>
    <row r="5" spans="1:6" ht="30" customHeight="1">
      <c r="A5" s="1"/>
      <c r="B5" s="11" t="s">
        <v>456</v>
      </c>
      <c r="C5" s="11"/>
      <c r="D5" s="11"/>
      <c r="E5" s="11"/>
      <c r="F5" s="11"/>
    </row>
    <row r="6" spans="1:6" ht="10.050000000000001" customHeight="1">
      <c r="A6" s="1"/>
      <c r="B6" s="2"/>
      <c r="C6" s="2"/>
      <c r="D6" s="2"/>
      <c r="E6" s="2"/>
      <c r="F6" s="2"/>
    </row>
    <row r="7" spans="1:6" ht="12" customHeight="1">
      <c r="A7" s="1"/>
      <c r="B7" s="1"/>
      <c r="C7" s="1"/>
      <c r="D7" s="1"/>
      <c r="E7" s="1"/>
      <c r="F7" s="1"/>
    </row>
    <row r="8" spans="1:6" ht="24" customHeight="1">
      <c r="A8" s="1"/>
      <c r="B8" s="20" t="s">
        <v>457</v>
      </c>
      <c r="C8" s="20"/>
      <c r="D8" s="1"/>
      <c r="E8" s="20" t="s">
        <v>458</v>
      </c>
      <c r="F8" s="20"/>
    </row>
    <row r="9" spans="1:6" ht="24" customHeight="1">
      <c r="A9" s="1"/>
      <c r="B9" s="1"/>
      <c r="C9" s="1"/>
      <c r="D9" s="1"/>
      <c r="E9" s="1"/>
      <c r="F9" s="1"/>
    </row>
    <row r="10" spans="1:6" ht="24" customHeight="1">
      <c r="A10" s="1"/>
      <c r="B10" s="11" t="s">
        <v>449</v>
      </c>
      <c r="C10" s="28">
        <v>46291</v>
      </c>
      <c r="D10" s="1"/>
      <c r="E10" s="11" t="s">
        <v>449</v>
      </c>
      <c r="F10" s="28">
        <v>46291</v>
      </c>
    </row>
    <row r="11" spans="1:6" ht="24" customHeight="1">
      <c r="A11" s="1"/>
      <c r="B11" s="11"/>
      <c r="C11" s="21"/>
      <c r="D11" s="1"/>
      <c r="E11" s="11"/>
      <c r="F11" s="21"/>
    </row>
    <row r="12" spans="1:6" ht="24" customHeight="1">
      <c r="A12" s="1"/>
      <c r="B12" s="11" t="s">
        <v>69</v>
      </c>
      <c r="C12" s="21" t="s">
        <v>76</v>
      </c>
      <c r="D12" s="1"/>
      <c r="E12" s="11" t="s">
        <v>69</v>
      </c>
      <c r="F12" s="21" t="s">
        <v>76</v>
      </c>
    </row>
    <row r="13" spans="1:6" ht="24" customHeight="1">
      <c r="A13" s="1"/>
      <c r="B13" s="11"/>
      <c r="C13" s="21"/>
      <c r="D13" s="1"/>
      <c r="E13" s="11"/>
      <c r="F13" s="21"/>
    </row>
    <row r="14" spans="1:6" ht="24" customHeight="1">
      <c r="A14" s="1"/>
      <c r="B14" s="11" t="s">
        <v>309</v>
      </c>
      <c r="C14" s="21" t="s">
        <v>113</v>
      </c>
      <c r="D14" s="1"/>
      <c r="E14" s="11" t="s">
        <v>309</v>
      </c>
      <c r="F14" s="21" t="s">
        <v>121</v>
      </c>
    </row>
    <row r="15" spans="1:6" ht="24" customHeight="1">
      <c r="A15" s="1"/>
      <c r="B15" s="11"/>
      <c r="C15" s="21"/>
      <c r="D15" s="1"/>
      <c r="E15" s="11"/>
      <c r="F15" s="21"/>
    </row>
    <row r="16" spans="1:6" ht="24" customHeight="1">
      <c r="A16" s="1"/>
      <c r="B16" s="11" t="s">
        <v>310</v>
      </c>
      <c r="C16" s="21" t="s">
        <v>459</v>
      </c>
      <c r="D16" s="1"/>
      <c r="E16" s="11" t="s">
        <v>310</v>
      </c>
      <c r="F16" s="21" t="s">
        <v>460</v>
      </c>
    </row>
    <row r="17" spans="1:6" ht="24" customHeight="1">
      <c r="A17" s="1"/>
      <c r="B17" s="11"/>
      <c r="C17" s="21"/>
      <c r="D17" s="1"/>
      <c r="E17" s="11"/>
      <c r="F17" s="21"/>
    </row>
    <row r="18" spans="1:6" ht="24" customHeight="1">
      <c r="A18" s="1"/>
      <c r="B18" s="11" t="s">
        <v>236</v>
      </c>
      <c r="C18" s="21" t="s">
        <v>461</v>
      </c>
      <c r="D18" s="1"/>
      <c r="E18" s="11" t="s">
        <v>236</v>
      </c>
      <c r="F18" s="21" t="s">
        <v>462</v>
      </c>
    </row>
    <row r="19" spans="1:6" ht="24" customHeight="1">
      <c r="A19" s="1"/>
      <c r="B19" s="11"/>
      <c r="C19" s="21"/>
      <c r="D19" s="1"/>
      <c r="E19" s="11"/>
      <c r="F19" s="21"/>
    </row>
    <row r="20" spans="1:6" ht="24" customHeight="1">
      <c r="A20" s="1"/>
      <c r="B20" s="11" t="s">
        <v>72</v>
      </c>
      <c r="C20" s="21"/>
      <c r="D20" s="1"/>
      <c r="E20" s="11" t="s">
        <v>72</v>
      </c>
      <c r="F20" s="21"/>
    </row>
    <row r="21" spans="1:6" ht="24" customHeight="1">
      <c r="A21" s="1"/>
      <c r="B21" s="11"/>
      <c r="C21" s="21"/>
      <c r="D21" s="1"/>
      <c r="E21" s="11"/>
      <c r="F21" s="21"/>
    </row>
    <row r="22" spans="1:6" ht="24" customHeight="1">
      <c r="A22" s="1"/>
      <c r="B22" s="11" t="s">
        <v>73</v>
      </c>
      <c r="C22" s="28"/>
      <c r="D22" s="1"/>
      <c r="E22" s="11" t="s">
        <v>73</v>
      </c>
      <c r="F22" s="28"/>
    </row>
    <row r="23" spans="1:6" ht="24" customHeight="1">
      <c r="A23" s="1"/>
      <c r="B23" s="11"/>
      <c r="C23" s="21"/>
      <c r="D23" s="1"/>
      <c r="E23" s="11"/>
      <c r="F23" s="21"/>
    </row>
    <row r="24" spans="1:6" ht="24" customHeight="1">
      <c r="A24" s="1"/>
      <c r="B24" s="11" t="s">
        <v>71</v>
      </c>
      <c r="C24" s="29" t="s">
        <v>79</v>
      </c>
      <c r="D24" s="1"/>
      <c r="E24" s="11" t="s">
        <v>71</v>
      </c>
      <c r="F24" s="29" t="s">
        <v>79</v>
      </c>
    </row>
    <row r="25" spans="1:6" ht="24" customHeight="1">
      <c r="A25" s="1"/>
      <c r="B25" s="11"/>
      <c r="C25" s="29"/>
      <c r="D25" s="1"/>
      <c r="E25" s="11"/>
      <c r="F25" s="29"/>
    </row>
    <row r="26" spans="1:6" ht="24" customHeight="1">
      <c r="A26" s="1"/>
      <c r="B26" s="11" t="s">
        <v>463</v>
      </c>
      <c r="C26" s="21" t="s">
        <v>464</v>
      </c>
      <c r="D26" s="1"/>
      <c r="E26" s="11" t="s">
        <v>463</v>
      </c>
      <c r="F26" s="21" t="s">
        <v>465</v>
      </c>
    </row>
    <row r="27" spans="1:6" ht="24" customHeight="1">
      <c r="A27" s="1"/>
      <c r="B27" s="11"/>
      <c r="C27" s="21"/>
      <c r="D27" s="1"/>
      <c r="E27" s="11"/>
      <c r="F27" s="21"/>
    </row>
    <row r="28" spans="1:6" ht="24" customHeight="1">
      <c r="A28" s="1"/>
      <c r="B28" s="1"/>
      <c r="C28" s="1"/>
      <c r="D28" s="1"/>
      <c r="E28" s="1"/>
      <c r="F28" s="1"/>
    </row>
    <row r="29" spans="1:6" ht="24" customHeight="1">
      <c r="A29" s="1"/>
      <c r="B29" s="1"/>
      <c r="C29" s="1"/>
      <c r="D29" s="1"/>
      <c r="E29" s="1"/>
      <c r="F29" s="1"/>
    </row>
    <row r="30" spans="1:6" ht="24" customHeight="1">
      <c r="A30" s="1"/>
      <c r="B30" s="1"/>
      <c r="C30" s="1"/>
      <c r="D30" s="1"/>
      <c r="E30" s="1"/>
      <c r="F30" s="1"/>
    </row>
    <row r="31" spans="1:6" ht="24" customHeight="1">
      <c r="A31" s="1"/>
      <c r="B31" s="1"/>
      <c r="C31" s="1"/>
      <c r="D31" s="1"/>
      <c r="E31" s="1"/>
      <c r="F31" s="1"/>
    </row>
    <row r="32" spans="1:6" ht="24" customHeight="1">
      <c r="A32" s="1"/>
      <c r="B32" s="1"/>
      <c r="C32" s="1"/>
      <c r="D32" s="1"/>
      <c r="E32" s="1"/>
      <c r="F32" s="1"/>
    </row>
    <row r="33" spans="1:6" ht="24" customHeight="1">
      <c r="A33" s="1"/>
      <c r="B33" s="1"/>
      <c r="C33" s="1"/>
      <c r="D33" s="1"/>
      <c r="E33" s="1"/>
      <c r="F33" s="1"/>
    </row>
    <row r="34" spans="1:6" ht="24" customHeight="1">
      <c r="A34" s="1"/>
      <c r="B34" s="1"/>
      <c r="C34" s="1"/>
      <c r="D34" s="1"/>
      <c r="E34" s="1"/>
      <c r="F34" s="1"/>
    </row>
    <row r="35" spans="1:6" ht="24" customHeight="1">
      <c r="A35" s="1"/>
      <c r="B35" s="1"/>
      <c r="C35" s="1"/>
      <c r="D35" s="1"/>
      <c r="E35" s="1"/>
      <c r="F35" s="1"/>
    </row>
    <row r="36" spans="1:6" ht="24" customHeight="1">
      <c r="A36" s="1"/>
      <c r="B36" s="1"/>
      <c r="C36" s="1"/>
      <c r="D36" s="1"/>
      <c r="E36" s="1"/>
      <c r="F36" s="1"/>
    </row>
    <row r="37" spans="1:6" ht="24" customHeight="1">
      <c r="A37" s="1"/>
      <c r="B37" s="1"/>
      <c r="C37" s="1"/>
      <c r="D37" s="1"/>
      <c r="E37" s="1"/>
      <c r="F37" s="1"/>
    </row>
    <row r="38" spans="1:6" ht="24" customHeight="1">
      <c r="A38" s="1"/>
      <c r="B38" s="1"/>
      <c r="C38" s="1"/>
      <c r="D38" s="1"/>
      <c r="E38" s="1"/>
      <c r="F38" s="1"/>
    </row>
    <row r="39" spans="1:6" ht="24" customHeight="1">
      <c r="A39" s="1"/>
      <c r="B39" s="1"/>
      <c r="C39" s="1"/>
      <c r="D39" s="1"/>
      <c r="E39" s="1"/>
      <c r="F39" s="1"/>
    </row>
    <row r="40" spans="1:6" ht="24" customHeight="1">
      <c r="A40" s="1"/>
      <c r="B40" s="1"/>
      <c r="C40" s="1"/>
      <c r="D40" s="1"/>
      <c r="E40" s="1"/>
      <c r="F40" s="1"/>
    </row>
    <row r="41" spans="1:6" ht="24" customHeight="1">
      <c r="A41" s="1"/>
      <c r="B41" s="1"/>
      <c r="C41" s="1"/>
      <c r="D41" s="1"/>
      <c r="E41" s="1"/>
      <c r="F41" s="1"/>
    </row>
    <row r="42" spans="1:6" ht="24" customHeight="1">
      <c r="A42" s="1"/>
      <c r="B42" s="1"/>
      <c r="C42" s="1"/>
      <c r="D42" s="1"/>
      <c r="E42" s="1"/>
      <c r="F42" s="1"/>
    </row>
    <row r="43" spans="1:6" ht="24" customHeight="1">
      <c r="A43" s="1"/>
      <c r="B43" s="1"/>
      <c r="C43" s="1"/>
      <c r="D43" s="1"/>
      <c r="E43" s="1"/>
      <c r="F43" s="1"/>
    </row>
    <row r="44" spans="1:6" ht="24" customHeight="1">
      <c r="A44" s="1"/>
      <c r="B44" s="1"/>
      <c r="C44" s="1"/>
      <c r="D44" s="1"/>
      <c r="E44" s="1"/>
      <c r="F44" s="1"/>
    </row>
    <row r="45" spans="1:6" ht="24" customHeight="1">
      <c r="A45" s="1"/>
      <c r="B45" s="1"/>
      <c r="C45" s="1"/>
      <c r="D45" s="1"/>
      <c r="E45" s="1"/>
      <c r="F45" s="1"/>
    </row>
    <row r="46" spans="1:6" ht="24" customHeight="1">
      <c r="A46" s="1"/>
      <c r="B46" s="1"/>
      <c r="C46" s="1"/>
      <c r="D46" s="1"/>
      <c r="E46" s="1"/>
      <c r="F46" s="1"/>
    </row>
    <row r="47" spans="1:6" ht="24" customHeight="1">
      <c r="A47" s="1"/>
      <c r="B47" s="1"/>
      <c r="C47" s="1"/>
      <c r="D47" s="1"/>
      <c r="E47" s="1"/>
      <c r="F47" s="1"/>
    </row>
    <row r="48" spans="1:6" ht="24" customHeight="1">
      <c r="A48" s="1"/>
      <c r="B48" s="1"/>
      <c r="C48" s="1"/>
      <c r="D48" s="1"/>
      <c r="E48" s="1"/>
      <c r="F48" s="1"/>
    </row>
    <row r="49" spans="1:6" ht="24" customHeight="1">
      <c r="A49" s="1"/>
      <c r="B49" s="1"/>
      <c r="C49" s="1"/>
      <c r="D49" s="1"/>
      <c r="E49" s="1"/>
      <c r="F49" s="1"/>
    </row>
    <row r="50" spans="1:6" ht="24" customHeight="1">
      <c r="A50" s="1"/>
      <c r="B50" s="1"/>
      <c r="C50" s="1"/>
      <c r="D50" s="1"/>
      <c r="E50" s="1"/>
      <c r="F50" s="1"/>
    </row>
    <row r="51" spans="1:6" ht="24" customHeight="1">
      <c r="A51" s="1"/>
      <c r="B51" s="1"/>
      <c r="C51" s="1"/>
      <c r="D51" s="1"/>
      <c r="E51" s="1"/>
      <c r="F51" s="1"/>
    </row>
    <row r="52" spans="1:6" ht="24" customHeight="1">
      <c r="A52" s="1"/>
      <c r="B52" s="1"/>
      <c r="C52" s="1"/>
      <c r="D52" s="1"/>
      <c r="E52" s="1"/>
      <c r="F52" s="1"/>
    </row>
    <row r="53" spans="1:6" ht="24" customHeight="1">
      <c r="A53" s="1"/>
      <c r="B53" s="1"/>
      <c r="C53" s="1"/>
      <c r="D53" s="1"/>
      <c r="E53" s="1"/>
      <c r="F53" s="1"/>
    </row>
    <row r="54" spans="1:6" ht="24" customHeight="1">
      <c r="A54" s="1"/>
      <c r="B54" s="1"/>
      <c r="C54" s="1"/>
      <c r="D54" s="1"/>
      <c r="E54" s="1"/>
      <c r="F54" s="1"/>
    </row>
    <row r="55" spans="1:6" ht="24" customHeight="1">
      <c r="A55" s="1"/>
      <c r="B55" s="1"/>
      <c r="C55" s="1"/>
      <c r="D55" s="1"/>
      <c r="E55" s="1"/>
      <c r="F55" s="1"/>
    </row>
  </sheetData>
  <mergeCells count="41">
    <mergeCell ref="B2:F2"/>
    <mergeCell ref="B4:F4"/>
    <mergeCell ref="B5:F5"/>
    <mergeCell ref="B8:C8"/>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B26:B27"/>
    <mergeCell ref="C26:C27"/>
    <mergeCell ref="E8:F8"/>
    <mergeCell ref="E10:E11"/>
    <mergeCell ref="F10:F11"/>
    <mergeCell ref="E12:E13"/>
    <mergeCell ref="F12:F13"/>
    <mergeCell ref="E14:E15"/>
    <mergeCell ref="F14:F15"/>
    <mergeCell ref="E16:E17"/>
    <mergeCell ref="F16:F17"/>
    <mergeCell ref="E18:E19"/>
    <mergeCell ref="F18:F19"/>
    <mergeCell ref="E20:E21"/>
    <mergeCell ref="E26:E27"/>
    <mergeCell ref="F26:F27"/>
    <mergeCell ref="F20:F21"/>
    <mergeCell ref="E22:E23"/>
    <mergeCell ref="F22:F23"/>
    <mergeCell ref="E24:E25"/>
    <mergeCell ref="F24:F25"/>
  </mergeCells>
  <conditionalFormatting sqref="C24:C25">
    <cfRule type="cellIs" dxfId="44" priority="1" operator="equal">
      <formula>"ĐANG LÀM"</formula>
    </cfRule>
    <cfRule type="cellIs" dxfId="43" priority="2" operator="equal">
      <formula>"XONG"</formula>
    </cfRule>
    <cfRule type="cellIs" dxfId="42" priority="3" operator="equal">
      <formula>"PASS"</formula>
    </cfRule>
    <cfRule type="cellIs" dxfId="41" priority="4" operator="equal">
      <formula>"ĐÃ GIẢI QUYẾT"</formula>
    </cfRule>
    <cfRule type="cellIs" dxfId="40" priority="5" operator="equal">
      <formula>"BỊ CHẶN"</formula>
    </cfRule>
    <cfRule type="cellIs" dxfId="39" priority="6" operator="equal">
      <formula>"FAIL"</formula>
    </cfRule>
    <cfRule type="cellIs" dxfId="38" priority="7" operator="equal">
      <formula>"CHỜ"</formula>
    </cfRule>
    <cfRule type="cellIs" dxfId="37" priority="8" operator="equal">
      <formula>"CHỜ CHẠY"</formula>
    </cfRule>
    <cfRule type="cellIs" dxfId="36" priority="9" operator="equal">
      <formula>"MỞ"</formula>
    </cfRule>
    <cfRule type="cellIs" dxfId="35" priority="10" operator="equal">
      <formula>"TẠM HOÃN"</formula>
    </cfRule>
    <cfRule type="cellIs" dxfId="34" priority="11" operator="equal">
      <formula>"CHƯA LÀM"</formula>
    </cfRule>
    <cfRule type="cellIs" dxfId="33" priority="12" operator="equal">
      <formula>"PASS LỊCH SỬ"</formula>
    </cfRule>
    <cfRule type="cellIs" dxfId="32" priority="13" operator="equal">
      <formula>"TÌM THẤY / CHỜ CHẠY LẠI"</formula>
    </cfRule>
  </conditionalFormatting>
  <conditionalFormatting sqref="F24:F25">
    <cfRule type="cellIs" dxfId="31" priority="14" operator="equal">
      <formula>"ĐANG LÀM"</formula>
    </cfRule>
    <cfRule type="cellIs" dxfId="30" priority="15" operator="equal">
      <formula>"XONG"</formula>
    </cfRule>
    <cfRule type="cellIs" dxfId="29" priority="16" operator="equal">
      <formula>"PASS"</formula>
    </cfRule>
    <cfRule type="cellIs" dxfId="28" priority="17" operator="equal">
      <formula>"ĐÃ GIẢI QUYẾT"</formula>
    </cfRule>
    <cfRule type="cellIs" dxfId="27" priority="18" operator="equal">
      <formula>"BỊ CHẶN"</formula>
    </cfRule>
    <cfRule type="cellIs" dxfId="26" priority="19" operator="equal">
      <formula>"FAIL"</formula>
    </cfRule>
    <cfRule type="cellIs" dxfId="25" priority="20" operator="equal">
      <formula>"CHỜ"</formula>
    </cfRule>
    <cfRule type="cellIs" dxfId="24" priority="21" operator="equal">
      <formula>"CHỜ CHẠY"</formula>
    </cfRule>
    <cfRule type="cellIs" dxfId="23" priority="22" operator="equal">
      <formula>"MỞ"</formula>
    </cfRule>
    <cfRule type="cellIs" dxfId="22" priority="23" operator="equal">
      <formula>"TẠM HOÃN"</formula>
    </cfRule>
    <cfRule type="cellIs" dxfId="21" priority="24" operator="equal">
      <formula>"CHƯA LÀM"</formula>
    </cfRule>
    <cfRule type="cellIs" dxfId="20" priority="25" operator="equal">
      <formula>"PASS LỊCH SỬ"</formula>
    </cfRule>
    <cfRule type="cellIs" dxfId="19" priority="26" operator="equal">
      <formula>"TÌM THẤY / CHỜ CHẠY LẠI"</formula>
    </cfRule>
  </conditionalFormatting>
  <dataValidations count="1">
    <dataValidation type="list" sqref="C24 F24" xr:uid="{00000000-0002-0000-1100-000000000000}">
      <formula1>"MỞ,ĐANG LÀM,BỊ CHẶN,XONG,HỦY"</formula1>
    </dataValidation>
  </dataValidations>
  <hyperlinks>
    <hyperlink ref="F1" location="'01_Muc_luc'!A1" display="← Mục lục" xr:uid="{A5932BBA-78B1-4D62-81AE-0B7C014405E4}"/>
  </hyperlinks>
  <pageMargins left="0.30555555555555558" right="0.30555555555555558" top="0.30555555555555558" bottom="0.30555555555555558" header="0.3" footer="0.3"/>
  <pageSetup paperSize="8"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EBDB2"/>
    <pageSetUpPr fitToPage="1"/>
  </sheetPr>
  <dimension ref="A1:G204"/>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8.69921875" customWidth="1"/>
    <col min="3" max="3" width="20.59765625" customWidth="1"/>
    <col min="4" max="4" width="47.5" customWidth="1"/>
    <col min="5" max="5" width="18.69921875" customWidth="1"/>
    <col min="6" max="6" width="14.3984375" customWidth="1"/>
    <col min="7" max="7" width="23.69921875" customWidth="1"/>
  </cols>
  <sheetData>
    <row r="1" spans="1:7" ht="24" customHeight="1">
      <c r="A1" s="1"/>
      <c r="B1" s="1"/>
      <c r="C1" s="1"/>
      <c r="D1" s="1"/>
      <c r="E1" s="1"/>
      <c r="F1" s="1"/>
      <c r="G1" s="10" t="s">
        <v>572</v>
      </c>
    </row>
    <row r="2" spans="1:7" ht="24" customHeight="1">
      <c r="A2" s="1"/>
      <c r="B2" s="16" t="s">
        <v>466</v>
      </c>
      <c r="C2" s="16"/>
      <c r="D2" s="16"/>
      <c r="E2" s="16"/>
      <c r="F2" s="16"/>
      <c r="G2" s="16"/>
    </row>
    <row r="3" spans="1:7" ht="24" customHeight="1">
      <c r="A3" s="1"/>
      <c r="B3" s="1"/>
      <c r="C3" s="1"/>
      <c r="D3" s="1"/>
      <c r="E3" s="1"/>
      <c r="F3" s="1"/>
      <c r="G3" s="1"/>
    </row>
    <row r="4" spans="1:7" ht="39" customHeight="1">
      <c r="A4" s="1"/>
      <c r="B4" s="17" t="s">
        <v>63</v>
      </c>
      <c r="C4" s="17"/>
      <c r="D4" s="17"/>
      <c r="E4" s="17"/>
      <c r="F4" s="17"/>
      <c r="G4" s="17"/>
    </row>
    <row r="5" spans="1:7" ht="30" customHeight="1">
      <c r="A5" s="1"/>
      <c r="B5" s="11" t="s">
        <v>467</v>
      </c>
      <c r="C5" s="11"/>
      <c r="D5" s="11"/>
      <c r="E5" s="11"/>
      <c r="F5" s="11"/>
      <c r="G5" s="11"/>
    </row>
    <row r="6" spans="1:7" ht="10.050000000000001" customHeight="1">
      <c r="A6" s="1"/>
      <c r="B6" s="2"/>
      <c r="C6" s="2"/>
      <c r="D6" s="2"/>
      <c r="E6" s="2"/>
      <c r="F6" s="2"/>
      <c r="G6" s="2"/>
    </row>
    <row r="7" spans="1:7" ht="12" customHeight="1">
      <c r="A7" s="1"/>
      <c r="B7" s="1"/>
      <c r="C7" s="1"/>
      <c r="D7" s="1"/>
      <c r="E7" s="1"/>
      <c r="F7" s="1"/>
      <c r="G7" s="1"/>
    </row>
    <row r="8" spans="1:7" ht="31.05" customHeight="1">
      <c r="A8" s="1"/>
      <c r="B8" s="3" t="s">
        <v>468</v>
      </c>
      <c r="C8" s="3" t="s">
        <v>469</v>
      </c>
      <c r="D8" s="3" t="s">
        <v>470</v>
      </c>
      <c r="E8" s="3" t="s">
        <v>71</v>
      </c>
      <c r="F8" s="3" t="s">
        <v>449</v>
      </c>
      <c r="G8" s="3" t="s">
        <v>471</v>
      </c>
    </row>
    <row r="9" spans="1:7" ht="33" customHeight="1">
      <c r="A9" s="1"/>
      <c r="B9" s="2" t="s">
        <v>472</v>
      </c>
      <c r="C9" s="2" t="s">
        <v>113</v>
      </c>
      <c r="D9" s="2" t="s">
        <v>473</v>
      </c>
      <c r="E9" s="7" t="s">
        <v>474</v>
      </c>
      <c r="F9" s="34">
        <v>46291</v>
      </c>
      <c r="G9" s="2" t="s">
        <v>475</v>
      </c>
    </row>
    <row r="10" spans="1:7" ht="33" customHeight="1">
      <c r="A10" s="1"/>
      <c r="B10" s="2" t="s">
        <v>476</v>
      </c>
      <c r="C10" s="2" t="s">
        <v>113</v>
      </c>
      <c r="D10" s="2" t="s">
        <v>477</v>
      </c>
      <c r="E10" s="7" t="s">
        <v>478</v>
      </c>
      <c r="F10" s="34">
        <v>46280</v>
      </c>
      <c r="G10" s="2" t="s">
        <v>479</v>
      </c>
    </row>
    <row r="11" spans="1:7" ht="33" customHeight="1">
      <c r="A11" s="1"/>
      <c r="B11" s="2" t="s">
        <v>480</v>
      </c>
      <c r="C11" s="2" t="s">
        <v>113</v>
      </c>
      <c r="D11" s="2" t="s">
        <v>481</v>
      </c>
      <c r="E11" s="7" t="s">
        <v>478</v>
      </c>
      <c r="F11" s="34">
        <v>46280</v>
      </c>
      <c r="G11" s="2" t="s">
        <v>479</v>
      </c>
    </row>
    <row r="12" spans="1:7" ht="33" customHeight="1">
      <c r="A12" s="1"/>
      <c r="B12" s="2" t="s">
        <v>482</v>
      </c>
      <c r="C12" s="2" t="s">
        <v>113</v>
      </c>
      <c r="D12" s="2" t="s">
        <v>483</v>
      </c>
      <c r="E12" s="7" t="s">
        <v>484</v>
      </c>
      <c r="F12" s="34">
        <v>46292</v>
      </c>
      <c r="G12" s="2" t="s">
        <v>80</v>
      </c>
    </row>
    <row r="13" spans="1:7" ht="33" customHeight="1">
      <c r="A13" s="1"/>
      <c r="B13" s="2" t="s">
        <v>485</v>
      </c>
      <c r="C13" s="2" t="s">
        <v>113</v>
      </c>
      <c r="D13" s="2" t="s">
        <v>486</v>
      </c>
      <c r="E13" s="7" t="s">
        <v>484</v>
      </c>
      <c r="F13" s="34">
        <v>46292</v>
      </c>
      <c r="G13" s="2" t="s">
        <v>83</v>
      </c>
    </row>
    <row r="14" spans="1:7" ht="33" customHeight="1">
      <c r="A14" s="1"/>
      <c r="B14" s="2" t="s">
        <v>487</v>
      </c>
      <c r="C14" s="2" t="s">
        <v>118</v>
      </c>
      <c r="D14" s="2" t="s">
        <v>488</v>
      </c>
      <c r="E14" s="7" t="s">
        <v>474</v>
      </c>
      <c r="F14" s="34">
        <v>46291</v>
      </c>
      <c r="G14" s="2" t="s">
        <v>489</v>
      </c>
    </row>
    <row r="15" spans="1:7" ht="33" customHeight="1">
      <c r="A15" s="1"/>
      <c r="B15" s="2" t="s">
        <v>490</v>
      </c>
      <c r="C15" s="2" t="s">
        <v>491</v>
      </c>
      <c r="D15" s="2" t="s">
        <v>492</v>
      </c>
      <c r="E15" s="7" t="s">
        <v>474</v>
      </c>
      <c r="F15" s="34">
        <v>46291</v>
      </c>
      <c r="G15" s="2" t="s">
        <v>489</v>
      </c>
    </row>
    <row r="16" spans="1:7" ht="33" customHeight="1">
      <c r="A16" s="1"/>
      <c r="B16" s="2" t="s">
        <v>493</v>
      </c>
      <c r="C16" s="2" t="s">
        <v>491</v>
      </c>
      <c r="D16" s="2" t="s">
        <v>494</v>
      </c>
      <c r="E16" s="7" t="s">
        <v>89</v>
      </c>
      <c r="F16" s="34">
        <v>46291</v>
      </c>
      <c r="G16" s="2" t="s">
        <v>489</v>
      </c>
    </row>
    <row r="17" spans="1:7" ht="33" customHeight="1">
      <c r="A17" s="1"/>
      <c r="B17" s="2" t="s">
        <v>495</v>
      </c>
      <c r="C17" s="2" t="s">
        <v>496</v>
      </c>
      <c r="D17" s="2" t="s">
        <v>497</v>
      </c>
      <c r="E17" s="7" t="s">
        <v>474</v>
      </c>
      <c r="F17" s="34">
        <v>46291</v>
      </c>
      <c r="G17" s="2" t="s">
        <v>446</v>
      </c>
    </row>
    <row r="18" spans="1:7" ht="33" customHeight="1">
      <c r="A18" s="1"/>
      <c r="B18" s="2" t="s">
        <v>498</v>
      </c>
      <c r="C18" s="2" t="s">
        <v>148</v>
      </c>
      <c r="D18" s="2" t="s">
        <v>499</v>
      </c>
      <c r="E18" s="7" t="s">
        <v>89</v>
      </c>
      <c r="F18" s="34">
        <v>46292</v>
      </c>
      <c r="G18" s="2" t="s">
        <v>90</v>
      </c>
    </row>
    <row r="19" spans="1:7" ht="33" customHeight="1">
      <c r="A19" s="1"/>
      <c r="B19" s="2" t="s">
        <v>500</v>
      </c>
      <c r="C19" s="2" t="s">
        <v>501</v>
      </c>
      <c r="D19" s="2" t="s">
        <v>502</v>
      </c>
      <c r="E19" s="7" t="s">
        <v>89</v>
      </c>
      <c r="F19" s="34">
        <v>46292</v>
      </c>
      <c r="G19" s="2" t="s">
        <v>92</v>
      </c>
    </row>
    <row r="20" spans="1:7" ht="33" customHeight="1">
      <c r="A20" s="1"/>
      <c r="B20" s="2" t="s">
        <v>503</v>
      </c>
      <c r="C20" s="2" t="s">
        <v>129</v>
      </c>
      <c r="D20" s="2" t="s">
        <v>504</v>
      </c>
      <c r="E20" s="7" t="s">
        <v>89</v>
      </c>
      <c r="F20" s="34">
        <v>46292</v>
      </c>
      <c r="G20" s="2" t="s">
        <v>96</v>
      </c>
    </row>
    <row r="21" spans="1:7" ht="33" customHeight="1">
      <c r="A21" s="1"/>
      <c r="B21" s="2" t="s">
        <v>505</v>
      </c>
      <c r="C21" s="2" t="s">
        <v>131</v>
      </c>
      <c r="D21" s="2" t="s">
        <v>506</v>
      </c>
      <c r="E21" s="7" t="s">
        <v>89</v>
      </c>
      <c r="F21" s="34">
        <v>46292</v>
      </c>
      <c r="G21" s="2" t="s">
        <v>98</v>
      </c>
    </row>
    <row r="22" spans="1:7" ht="33" customHeight="1">
      <c r="A22" s="1"/>
      <c r="B22" s="2" t="s">
        <v>507</v>
      </c>
      <c r="C22" s="2" t="s">
        <v>156</v>
      </c>
      <c r="D22" s="2" t="s">
        <v>508</v>
      </c>
      <c r="E22" s="7" t="s">
        <v>89</v>
      </c>
      <c r="F22" s="34">
        <v>46292</v>
      </c>
      <c r="G22" s="2" t="s">
        <v>100</v>
      </c>
    </row>
    <row r="23" spans="1:7" ht="33" customHeight="1">
      <c r="A23" s="1"/>
      <c r="B23" s="2" t="s">
        <v>509</v>
      </c>
      <c r="C23" s="2" t="s">
        <v>265</v>
      </c>
      <c r="D23" s="2" t="s">
        <v>510</v>
      </c>
      <c r="E23" s="7" t="s">
        <v>89</v>
      </c>
      <c r="F23" s="34">
        <v>46292</v>
      </c>
      <c r="G23" s="2" t="s">
        <v>102</v>
      </c>
    </row>
    <row r="24" spans="1:7" ht="24" customHeight="1">
      <c r="A24" s="1"/>
      <c r="B24" s="1"/>
      <c r="C24" s="1"/>
      <c r="D24" s="1"/>
      <c r="E24" s="8"/>
      <c r="F24" s="35"/>
      <c r="G24" s="1"/>
    </row>
    <row r="25" spans="1:7" ht="24" customHeight="1">
      <c r="A25" s="1"/>
      <c r="B25" s="1"/>
      <c r="C25" s="1"/>
      <c r="D25" s="1"/>
      <c r="E25" s="8"/>
      <c r="F25" s="35"/>
      <c r="G25" s="1"/>
    </row>
    <row r="26" spans="1:7" ht="24" customHeight="1">
      <c r="A26" s="1"/>
      <c r="B26" s="1"/>
      <c r="C26" s="1"/>
      <c r="D26" s="1"/>
      <c r="E26" s="8"/>
      <c r="F26" s="35"/>
      <c r="G26" s="1"/>
    </row>
    <row r="27" spans="1:7" ht="24" customHeight="1">
      <c r="A27" s="1"/>
      <c r="B27" s="1"/>
      <c r="C27" s="1"/>
      <c r="D27" s="1"/>
      <c r="E27" s="8"/>
      <c r="F27" s="35"/>
      <c r="G27" s="1"/>
    </row>
    <row r="28" spans="1:7" ht="24" customHeight="1">
      <c r="A28" s="1"/>
      <c r="B28" s="1"/>
      <c r="C28" s="1"/>
      <c r="D28" s="1"/>
      <c r="E28" s="8"/>
      <c r="F28" s="35"/>
      <c r="G28" s="1"/>
    </row>
    <row r="29" spans="1:7" ht="24" customHeight="1">
      <c r="A29" s="1"/>
      <c r="B29" s="1"/>
      <c r="C29" s="1"/>
      <c r="D29" s="1"/>
      <c r="E29" s="8"/>
      <c r="F29" s="35"/>
      <c r="G29" s="1"/>
    </row>
    <row r="30" spans="1:7" ht="24" customHeight="1">
      <c r="A30" s="1"/>
      <c r="B30" s="1"/>
      <c r="C30" s="1"/>
      <c r="D30" s="1"/>
      <c r="E30" s="8"/>
      <c r="F30" s="35"/>
      <c r="G30" s="1"/>
    </row>
    <row r="31" spans="1:7" ht="24" customHeight="1">
      <c r="A31" s="1"/>
      <c r="B31" s="1"/>
      <c r="C31" s="1"/>
      <c r="D31" s="1"/>
      <c r="E31" s="8"/>
      <c r="F31" s="35"/>
      <c r="G31" s="1"/>
    </row>
    <row r="32" spans="1:7" ht="24" customHeight="1">
      <c r="A32" s="1"/>
      <c r="B32" s="1"/>
      <c r="C32" s="1"/>
      <c r="D32" s="1"/>
      <c r="E32" s="8"/>
      <c r="F32" s="35"/>
      <c r="G32" s="1"/>
    </row>
    <row r="33" spans="1:7" ht="24" customHeight="1">
      <c r="A33" s="1"/>
      <c r="B33" s="1"/>
      <c r="C33" s="1"/>
      <c r="D33" s="1"/>
      <c r="E33" s="8"/>
      <c r="F33" s="35"/>
      <c r="G33" s="1"/>
    </row>
    <row r="34" spans="1:7" ht="24" customHeight="1">
      <c r="A34" s="1"/>
      <c r="B34" s="1"/>
      <c r="C34" s="1"/>
      <c r="D34" s="1"/>
      <c r="E34" s="8"/>
      <c r="F34" s="35"/>
      <c r="G34" s="1"/>
    </row>
    <row r="35" spans="1:7" ht="24" customHeight="1">
      <c r="A35" s="1"/>
      <c r="B35" s="1"/>
      <c r="C35" s="1"/>
      <c r="D35" s="1"/>
      <c r="E35" s="8"/>
      <c r="F35" s="35"/>
      <c r="G35" s="1"/>
    </row>
    <row r="36" spans="1:7" ht="24" customHeight="1">
      <c r="A36" s="1"/>
      <c r="B36" s="1"/>
      <c r="C36" s="1"/>
      <c r="D36" s="1"/>
      <c r="E36" s="8"/>
      <c r="F36" s="35"/>
      <c r="G36" s="1"/>
    </row>
    <row r="37" spans="1:7" ht="24" customHeight="1">
      <c r="A37" s="1"/>
      <c r="B37" s="1"/>
      <c r="C37" s="1"/>
      <c r="D37" s="1"/>
      <c r="E37" s="8"/>
      <c r="F37" s="35"/>
      <c r="G37" s="1"/>
    </row>
    <row r="38" spans="1:7" ht="24" customHeight="1">
      <c r="A38" s="1"/>
      <c r="B38" s="1"/>
      <c r="C38" s="1"/>
      <c r="D38" s="1"/>
      <c r="E38" s="8"/>
      <c r="F38" s="35"/>
      <c r="G38" s="1"/>
    </row>
    <row r="39" spans="1:7" ht="24" customHeight="1">
      <c r="A39" s="1"/>
      <c r="B39" s="1"/>
      <c r="C39" s="1"/>
      <c r="D39" s="1"/>
      <c r="E39" s="8"/>
      <c r="F39" s="35"/>
      <c r="G39" s="1"/>
    </row>
    <row r="40" spans="1:7" ht="24" customHeight="1">
      <c r="A40" s="1"/>
      <c r="B40" s="1"/>
      <c r="C40" s="1"/>
      <c r="D40" s="1"/>
      <c r="E40" s="8"/>
      <c r="F40" s="35"/>
      <c r="G40" s="1"/>
    </row>
    <row r="41" spans="1:7" ht="24" customHeight="1">
      <c r="A41" s="1"/>
      <c r="B41" s="1"/>
      <c r="C41" s="1"/>
      <c r="D41" s="1"/>
      <c r="E41" s="8"/>
      <c r="F41" s="35"/>
      <c r="G41" s="1"/>
    </row>
    <row r="42" spans="1:7" ht="24" customHeight="1">
      <c r="A42" s="1"/>
      <c r="B42" s="1"/>
      <c r="C42" s="1"/>
      <c r="D42" s="1"/>
      <c r="E42" s="8"/>
      <c r="F42" s="35"/>
      <c r="G42" s="1"/>
    </row>
    <row r="43" spans="1:7" ht="24" customHeight="1">
      <c r="A43" s="1"/>
      <c r="B43" s="1"/>
      <c r="C43" s="1"/>
      <c r="D43" s="1"/>
      <c r="E43" s="8"/>
      <c r="F43" s="35"/>
      <c r="G43" s="1"/>
    </row>
    <row r="44" spans="1:7" ht="24" customHeight="1">
      <c r="A44" s="1"/>
      <c r="B44" s="1"/>
      <c r="C44" s="1"/>
      <c r="D44" s="1"/>
      <c r="E44" s="8"/>
      <c r="F44" s="35"/>
      <c r="G44" s="1"/>
    </row>
    <row r="45" spans="1:7" ht="24" customHeight="1">
      <c r="A45" s="1"/>
      <c r="B45" s="1"/>
      <c r="C45" s="1"/>
      <c r="D45" s="1"/>
      <c r="E45" s="8"/>
      <c r="F45" s="35"/>
      <c r="G45" s="1"/>
    </row>
    <row r="46" spans="1:7" ht="24" customHeight="1">
      <c r="A46" s="1"/>
      <c r="B46" s="1"/>
      <c r="C46" s="1"/>
      <c r="D46" s="1"/>
      <c r="E46" s="8"/>
      <c r="F46" s="35"/>
      <c r="G46" s="1"/>
    </row>
    <row r="47" spans="1:7" ht="24" customHeight="1">
      <c r="A47" s="1"/>
      <c r="B47" s="1"/>
      <c r="C47" s="1"/>
      <c r="D47" s="1"/>
      <c r="E47" s="8"/>
      <c r="F47" s="35"/>
      <c r="G47" s="1"/>
    </row>
    <row r="48" spans="1:7" ht="24" customHeight="1">
      <c r="A48" s="1"/>
      <c r="B48" s="1"/>
      <c r="C48" s="1"/>
      <c r="D48" s="1"/>
      <c r="E48" s="8"/>
      <c r="F48" s="35"/>
      <c r="G48" s="1"/>
    </row>
    <row r="49" spans="1:7" ht="24" customHeight="1">
      <c r="A49" s="1"/>
      <c r="B49" s="1"/>
      <c r="C49" s="1"/>
      <c r="D49" s="1"/>
      <c r="E49" s="8"/>
      <c r="F49" s="35"/>
      <c r="G49" s="1"/>
    </row>
    <row r="50" spans="1:7" ht="24" customHeight="1">
      <c r="A50" s="1"/>
      <c r="B50" s="1"/>
      <c r="C50" s="1"/>
      <c r="D50" s="1"/>
      <c r="E50" s="8"/>
      <c r="F50" s="35"/>
      <c r="G50" s="1"/>
    </row>
    <row r="51" spans="1:7" ht="24" customHeight="1">
      <c r="A51" s="1"/>
      <c r="B51" s="1"/>
      <c r="C51" s="1"/>
      <c r="D51" s="1"/>
      <c r="E51" s="8"/>
      <c r="F51" s="35"/>
      <c r="G51" s="1"/>
    </row>
    <row r="52" spans="1:7" ht="24" customHeight="1">
      <c r="A52" s="1"/>
      <c r="B52" s="1"/>
      <c r="C52" s="1"/>
      <c r="D52" s="1"/>
      <c r="E52" s="8"/>
      <c r="F52" s="35"/>
      <c r="G52" s="1"/>
    </row>
    <row r="53" spans="1:7" ht="24" customHeight="1">
      <c r="A53" s="1"/>
      <c r="B53" s="1"/>
      <c r="C53" s="1"/>
      <c r="D53" s="1"/>
      <c r="E53" s="8"/>
      <c r="F53" s="35"/>
      <c r="G53" s="1"/>
    </row>
    <row r="54" spans="1:7" ht="24" customHeight="1">
      <c r="A54" s="1"/>
      <c r="B54" s="1"/>
      <c r="C54" s="1"/>
      <c r="D54" s="1"/>
      <c r="E54" s="8"/>
      <c r="F54" s="35"/>
      <c r="G54" s="1"/>
    </row>
    <row r="55" spans="1:7" ht="24" customHeight="1">
      <c r="A55" s="1"/>
      <c r="B55" s="1"/>
      <c r="C55" s="1"/>
      <c r="D55" s="1"/>
      <c r="E55" s="8"/>
      <c r="F55" s="35"/>
      <c r="G55" s="1"/>
    </row>
    <row r="56" spans="1:7">
      <c r="E56" s="9"/>
      <c r="F56" s="36"/>
    </row>
    <row r="57" spans="1:7">
      <c r="E57" s="9"/>
      <c r="F57" s="36"/>
    </row>
    <row r="58" spans="1:7">
      <c r="E58" s="9"/>
      <c r="F58" s="36"/>
    </row>
    <row r="59" spans="1:7">
      <c r="E59" s="9"/>
      <c r="F59" s="36"/>
    </row>
    <row r="60" spans="1:7">
      <c r="E60" s="9"/>
      <c r="F60" s="36"/>
    </row>
    <row r="61" spans="1:7">
      <c r="E61" s="9"/>
      <c r="F61" s="36"/>
    </row>
    <row r="62" spans="1:7">
      <c r="E62" s="9"/>
      <c r="F62" s="36"/>
    </row>
    <row r="63" spans="1:7">
      <c r="E63" s="9"/>
      <c r="F63" s="36"/>
    </row>
    <row r="64" spans="1:7">
      <c r="E64" s="9"/>
      <c r="F64" s="36"/>
    </row>
    <row r="65" spans="5:6">
      <c r="E65" s="9"/>
      <c r="F65" s="36"/>
    </row>
    <row r="66" spans="5:6">
      <c r="E66" s="9"/>
      <c r="F66" s="36"/>
    </row>
    <row r="67" spans="5:6">
      <c r="E67" s="9"/>
      <c r="F67" s="36"/>
    </row>
    <row r="68" spans="5:6">
      <c r="E68" s="9"/>
      <c r="F68" s="36"/>
    </row>
    <row r="69" spans="5:6">
      <c r="E69" s="9"/>
      <c r="F69" s="36"/>
    </row>
    <row r="70" spans="5:6">
      <c r="E70" s="9"/>
      <c r="F70" s="36"/>
    </row>
    <row r="71" spans="5:6">
      <c r="E71" s="9"/>
      <c r="F71" s="36"/>
    </row>
    <row r="72" spans="5:6">
      <c r="E72" s="9"/>
      <c r="F72" s="36"/>
    </row>
    <row r="73" spans="5:6">
      <c r="E73" s="9"/>
      <c r="F73" s="36"/>
    </row>
    <row r="74" spans="5:6">
      <c r="E74" s="9"/>
      <c r="F74" s="36"/>
    </row>
    <row r="75" spans="5:6">
      <c r="E75" s="9"/>
      <c r="F75" s="36"/>
    </row>
    <row r="76" spans="5:6">
      <c r="E76" s="9"/>
      <c r="F76" s="36"/>
    </row>
    <row r="77" spans="5:6">
      <c r="E77" s="9"/>
      <c r="F77" s="36"/>
    </row>
    <row r="78" spans="5:6">
      <c r="E78" s="9"/>
      <c r="F78" s="36"/>
    </row>
    <row r="79" spans="5:6">
      <c r="E79" s="9"/>
      <c r="F79" s="36"/>
    </row>
    <row r="80" spans="5:6">
      <c r="E80" s="9"/>
      <c r="F80" s="36"/>
    </row>
    <row r="81" spans="5:6">
      <c r="E81" s="9"/>
      <c r="F81" s="36"/>
    </row>
    <row r="82" spans="5:6">
      <c r="E82" s="9"/>
      <c r="F82" s="36"/>
    </row>
    <row r="83" spans="5:6">
      <c r="E83" s="9"/>
      <c r="F83" s="36"/>
    </row>
    <row r="84" spans="5:6">
      <c r="E84" s="9"/>
      <c r="F84" s="36"/>
    </row>
    <row r="85" spans="5:6">
      <c r="E85" s="9"/>
      <c r="F85" s="36"/>
    </row>
    <row r="86" spans="5:6">
      <c r="E86" s="9"/>
      <c r="F86" s="36"/>
    </row>
    <row r="87" spans="5:6">
      <c r="E87" s="9"/>
      <c r="F87" s="36"/>
    </row>
    <row r="88" spans="5:6">
      <c r="E88" s="9"/>
      <c r="F88" s="36"/>
    </row>
    <row r="89" spans="5:6">
      <c r="E89" s="9"/>
      <c r="F89" s="36"/>
    </row>
    <row r="90" spans="5:6">
      <c r="E90" s="9"/>
      <c r="F90" s="36"/>
    </row>
    <row r="91" spans="5:6">
      <c r="E91" s="9"/>
      <c r="F91" s="36"/>
    </row>
    <row r="92" spans="5:6">
      <c r="E92" s="9"/>
      <c r="F92" s="36"/>
    </row>
    <row r="93" spans="5:6">
      <c r="E93" s="9"/>
      <c r="F93" s="36"/>
    </row>
    <row r="94" spans="5:6">
      <c r="E94" s="9"/>
      <c r="F94" s="36"/>
    </row>
    <row r="95" spans="5:6">
      <c r="E95" s="9"/>
      <c r="F95" s="36"/>
    </row>
    <row r="96" spans="5:6">
      <c r="E96" s="9"/>
      <c r="F96" s="36"/>
    </row>
    <row r="97" spans="5:6">
      <c r="E97" s="9"/>
      <c r="F97" s="36"/>
    </row>
    <row r="98" spans="5:6">
      <c r="E98" s="9"/>
      <c r="F98" s="36"/>
    </row>
    <row r="99" spans="5:6">
      <c r="E99" s="9"/>
      <c r="F99" s="36"/>
    </row>
    <row r="100" spans="5:6">
      <c r="E100" s="9"/>
      <c r="F100" s="36"/>
    </row>
    <row r="101" spans="5:6">
      <c r="E101" s="9"/>
      <c r="F101" s="36"/>
    </row>
    <row r="102" spans="5:6">
      <c r="E102" s="9"/>
      <c r="F102" s="36"/>
    </row>
    <row r="103" spans="5:6">
      <c r="E103" s="9"/>
      <c r="F103" s="36"/>
    </row>
    <row r="104" spans="5:6">
      <c r="E104" s="9"/>
      <c r="F104" s="36"/>
    </row>
    <row r="105" spans="5:6">
      <c r="E105" s="9"/>
      <c r="F105" s="36"/>
    </row>
    <row r="106" spans="5:6">
      <c r="E106" s="9"/>
      <c r="F106" s="36"/>
    </row>
    <row r="107" spans="5:6">
      <c r="E107" s="9"/>
      <c r="F107" s="36"/>
    </row>
    <row r="108" spans="5:6">
      <c r="E108" s="9"/>
      <c r="F108" s="36"/>
    </row>
    <row r="109" spans="5:6">
      <c r="E109" s="9"/>
      <c r="F109" s="36"/>
    </row>
    <row r="110" spans="5:6">
      <c r="E110" s="9"/>
      <c r="F110" s="36"/>
    </row>
    <row r="111" spans="5:6">
      <c r="E111" s="9"/>
      <c r="F111" s="36"/>
    </row>
    <row r="112" spans="5:6">
      <c r="E112" s="9"/>
      <c r="F112" s="36"/>
    </row>
    <row r="113" spans="5:6">
      <c r="E113" s="9"/>
      <c r="F113" s="36"/>
    </row>
    <row r="114" spans="5:6">
      <c r="E114" s="9"/>
      <c r="F114" s="36"/>
    </row>
    <row r="115" spans="5:6">
      <c r="E115" s="9"/>
      <c r="F115" s="36"/>
    </row>
    <row r="116" spans="5:6">
      <c r="E116" s="9"/>
      <c r="F116" s="36"/>
    </row>
    <row r="117" spans="5:6">
      <c r="E117" s="9"/>
      <c r="F117" s="36"/>
    </row>
    <row r="118" spans="5:6">
      <c r="E118" s="9"/>
      <c r="F118" s="36"/>
    </row>
    <row r="119" spans="5:6">
      <c r="E119" s="9"/>
      <c r="F119" s="36"/>
    </row>
    <row r="120" spans="5:6">
      <c r="E120" s="9"/>
      <c r="F120" s="36"/>
    </row>
    <row r="121" spans="5:6">
      <c r="E121" s="9"/>
      <c r="F121" s="36"/>
    </row>
    <row r="122" spans="5:6">
      <c r="E122" s="9"/>
      <c r="F122" s="36"/>
    </row>
    <row r="123" spans="5:6">
      <c r="E123" s="9"/>
      <c r="F123" s="36"/>
    </row>
    <row r="124" spans="5:6">
      <c r="E124" s="9"/>
      <c r="F124" s="36"/>
    </row>
    <row r="125" spans="5:6">
      <c r="E125" s="9"/>
      <c r="F125" s="36"/>
    </row>
    <row r="126" spans="5:6">
      <c r="E126" s="9"/>
      <c r="F126" s="36"/>
    </row>
    <row r="127" spans="5:6">
      <c r="E127" s="9"/>
      <c r="F127" s="36"/>
    </row>
    <row r="128" spans="5:6">
      <c r="E128" s="9"/>
      <c r="F128" s="36"/>
    </row>
    <row r="129" spans="5:6">
      <c r="E129" s="9"/>
      <c r="F129" s="36"/>
    </row>
    <row r="130" spans="5:6">
      <c r="E130" s="9"/>
      <c r="F130" s="36"/>
    </row>
    <row r="131" spans="5:6">
      <c r="E131" s="9"/>
      <c r="F131" s="36"/>
    </row>
    <row r="132" spans="5:6">
      <c r="E132" s="9"/>
      <c r="F132" s="36"/>
    </row>
    <row r="133" spans="5:6">
      <c r="E133" s="9"/>
      <c r="F133" s="36"/>
    </row>
    <row r="134" spans="5:6">
      <c r="E134" s="9"/>
      <c r="F134" s="36"/>
    </row>
    <row r="135" spans="5:6">
      <c r="E135" s="9"/>
      <c r="F135" s="36"/>
    </row>
    <row r="136" spans="5:6">
      <c r="E136" s="9"/>
      <c r="F136" s="36"/>
    </row>
    <row r="137" spans="5:6">
      <c r="E137" s="9"/>
      <c r="F137" s="36"/>
    </row>
    <row r="138" spans="5:6">
      <c r="E138" s="9"/>
      <c r="F138" s="36"/>
    </row>
    <row r="139" spans="5:6">
      <c r="E139" s="9"/>
      <c r="F139" s="36"/>
    </row>
    <row r="140" spans="5:6">
      <c r="E140" s="9"/>
      <c r="F140" s="36"/>
    </row>
    <row r="141" spans="5:6">
      <c r="E141" s="9"/>
      <c r="F141" s="36"/>
    </row>
    <row r="142" spans="5:6">
      <c r="E142" s="9"/>
      <c r="F142" s="36"/>
    </row>
    <row r="143" spans="5:6">
      <c r="E143" s="9"/>
      <c r="F143" s="36"/>
    </row>
    <row r="144" spans="5:6">
      <c r="E144" s="9"/>
      <c r="F144" s="36"/>
    </row>
    <row r="145" spans="5:6">
      <c r="E145" s="9"/>
      <c r="F145" s="36"/>
    </row>
    <row r="146" spans="5:6">
      <c r="E146" s="9"/>
      <c r="F146" s="36"/>
    </row>
    <row r="147" spans="5:6">
      <c r="E147" s="9"/>
      <c r="F147" s="36"/>
    </row>
    <row r="148" spans="5:6">
      <c r="E148" s="9"/>
      <c r="F148" s="36"/>
    </row>
    <row r="149" spans="5:6">
      <c r="E149" s="9"/>
      <c r="F149" s="36"/>
    </row>
    <row r="150" spans="5:6">
      <c r="E150" s="9"/>
      <c r="F150" s="36"/>
    </row>
    <row r="151" spans="5:6">
      <c r="E151" s="9"/>
      <c r="F151" s="36"/>
    </row>
    <row r="152" spans="5:6">
      <c r="E152" s="9"/>
      <c r="F152" s="36"/>
    </row>
    <row r="153" spans="5:6">
      <c r="E153" s="9"/>
      <c r="F153" s="36"/>
    </row>
    <row r="154" spans="5:6">
      <c r="E154" s="9"/>
      <c r="F154" s="36"/>
    </row>
    <row r="155" spans="5:6">
      <c r="E155" s="9"/>
      <c r="F155" s="36"/>
    </row>
    <row r="156" spans="5:6">
      <c r="E156" s="9"/>
      <c r="F156" s="36"/>
    </row>
    <row r="157" spans="5:6">
      <c r="E157" s="9"/>
      <c r="F157" s="36"/>
    </row>
    <row r="158" spans="5:6">
      <c r="E158" s="9"/>
      <c r="F158" s="36"/>
    </row>
    <row r="159" spans="5:6">
      <c r="E159" s="9"/>
      <c r="F159" s="36"/>
    </row>
    <row r="160" spans="5:6">
      <c r="E160" s="9"/>
      <c r="F160" s="36"/>
    </row>
    <row r="161" spans="5:6">
      <c r="E161" s="9"/>
      <c r="F161" s="36"/>
    </row>
    <row r="162" spans="5:6">
      <c r="E162" s="9"/>
      <c r="F162" s="36"/>
    </row>
    <row r="163" spans="5:6">
      <c r="E163" s="9"/>
      <c r="F163" s="36"/>
    </row>
    <row r="164" spans="5:6">
      <c r="E164" s="9"/>
      <c r="F164" s="36"/>
    </row>
    <row r="165" spans="5:6">
      <c r="E165" s="9"/>
      <c r="F165" s="36"/>
    </row>
    <row r="166" spans="5:6">
      <c r="E166" s="9"/>
      <c r="F166" s="36"/>
    </row>
    <row r="167" spans="5:6">
      <c r="E167" s="9"/>
      <c r="F167" s="36"/>
    </row>
    <row r="168" spans="5:6">
      <c r="E168" s="9"/>
      <c r="F168" s="36"/>
    </row>
    <row r="169" spans="5:6">
      <c r="E169" s="9"/>
      <c r="F169" s="36"/>
    </row>
    <row r="170" spans="5:6">
      <c r="E170" s="9"/>
      <c r="F170" s="36"/>
    </row>
    <row r="171" spans="5:6">
      <c r="E171" s="9"/>
      <c r="F171" s="36"/>
    </row>
    <row r="172" spans="5:6">
      <c r="E172" s="9"/>
      <c r="F172" s="36"/>
    </row>
    <row r="173" spans="5:6">
      <c r="E173" s="9"/>
      <c r="F173" s="36"/>
    </row>
    <row r="174" spans="5:6">
      <c r="E174" s="9"/>
      <c r="F174" s="36"/>
    </row>
    <row r="175" spans="5:6">
      <c r="E175" s="9"/>
      <c r="F175" s="36"/>
    </row>
    <row r="176" spans="5:6">
      <c r="E176" s="9"/>
      <c r="F176" s="36"/>
    </row>
    <row r="177" spans="5:6">
      <c r="E177" s="9"/>
      <c r="F177" s="36"/>
    </row>
    <row r="178" spans="5:6">
      <c r="E178" s="9"/>
      <c r="F178" s="36"/>
    </row>
    <row r="179" spans="5:6">
      <c r="E179" s="9"/>
      <c r="F179" s="36"/>
    </row>
    <row r="180" spans="5:6">
      <c r="E180" s="9"/>
      <c r="F180" s="36"/>
    </row>
    <row r="181" spans="5:6">
      <c r="E181" s="9"/>
      <c r="F181" s="36"/>
    </row>
    <row r="182" spans="5:6">
      <c r="E182" s="9"/>
      <c r="F182" s="36"/>
    </row>
    <row r="183" spans="5:6">
      <c r="E183" s="9"/>
      <c r="F183" s="36"/>
    </row>
    <row r="184" spans="5:6">
      <c r="E184" s="9"/>
      <c r="F184" s="36"/>
    </row>
    <row r="185" spans="5:6">
      <c r="E185" s="9"/>
      <c r="F185" s="36"/>
    </row>
    <row r="186" spans="5:6">
      <c r="E186" s="9"/>
      <c r="F186" s="36"/>
    </row>
    <row r="187" spans="5:6">
      <c r="E187" s="9"/>
      <c r="F187" s="36"/>
    </row>
    <row r="188" spans="5:6">
      <c r="E188" s="9"/>
      <c r="F188" s="36"/>
    </row>
    <row r="189" spans="5:6">
      <c r="E189" s="9"/>
      <c r="F189" s="36"/>
    </row>
    <row r="190" spans="5:6">
      <c r="E190" s="9"/>
      <c r="F190" s="36"/>
    </row>
    <row r="191" spans="5:6">
      <c r="E191" s="9"/>
      <c r="F191" s="36"/>
    </row>
    <row r="192" spans="5:6">
      <c r="E192" s="9"/>
      <c r="F192" s="36"/>
    </row>
    <row r="193" spans="5:6">
      <c r="E193" s="9"/>
      <c r="F193" s="36"/>
    </row>
    <row r="194" spans="5:6">
      <c r="E194" s="9"/>
      <c r="F194" s="36"/>
    </row>
    <row r="195" spans="5:6">
      <c r="E195" s="9"/>
      <c r="F195" s="36"/>
    </row>
    <row r="196" spans="5:6">
      <c r="E196" s="9"/>
      <c r="F196" s="36"/>
    </row>
    <row r="197" spans="5:6">
      <c r="E197" s="9"/>
      <c r="F197" s="36"/>
    </row>
    <row r="198" spans="5:6">
      <c r="E198" s="9"/>
      <c r="F198" s="36"/>
    </row>
    <row r="199" spans="5:6">
      <c r="E199" s="9"/>
      <c r="F199" s="36"/>
    </row>
    <row r="200" spans="5:6">
      <c r="E200" s="9"/>
      <c r="F200" s="36"/>
    </row>
    <row r="201" spans="5:6">
      <c r="E201" s="9"/>
      <c r="F201" s="36"/>
    </row>
    <row r="202" spans="5:6">
      <c r="E202" s="9"/>
      <c r="F202" s="36"/>
    </row>
    <row r="203" spans="5:6">
      <c r="E203" s="9"/>
      <c r="F203" s="36"/>
    </row>
    <row r="204" spans="5:6">
      <c r="E204" s="9"/>
      <c r="F204" s="36"/>
    </row>
  </sheetData>
  <mergeCells count="3">
    <mergeCell ref="B2:G2"/>
    <mergeCell ref="B4:G4"/>
    <mergeCell ref="B5:G5"/>
  </mergeCells>
  <conditionalFormatting sqref="E9:E204">
    <cfRule type="cellIs" dxfId="18" priority="1" operator="equal">
      <formula>"ĐANG LÀM"</formula>
    </cfRule>
    <cfRule type="cellIs" dxfId="17" priority="2" operator="equal">
      <formula>"XONG"</formula>
    </cfRule>
    <cfRule type="cellIs" dxfId="16" priority="3" operator="equal">
      <formula>"PASS"</formula>
    </cfRule>
    <cfRule type="cellIs" dxfId="15" priority="4" operator="equal">
      <formula>"ĐÃ GIẢI QUYẾT"</formula>
    </cfRule>
    <cfRule type="cellIs" dxfId="14" priority="5" operator="equal">
      <formula>"BỊ CHẶN"</formula>
    </cfRule>
    <cfRule type="cellIs" dxfId="13" priority="6" operator="equal">
      <formula>"FAIL"</formula>
    </cfRule>
    <cfRule type="cellIs" dxfId="12" priority="7" operator="equal">
      <formula>"CHỜ"</formula>
    </cfRule>
    <cfRule type="cellIs" dxfId="11" priority="8" operator="equal">
      <formula>"CHỜ CHẠY"</formula>
    </cfRule>
    <cfRule type="cellIs" dxfId="10" priority="9" operator="equal">
      <formula>"MỞ"</formula>
    </cfRule>
    <cfRule type="cellIs" dxfId="9" priority="10" operator="equal">
      <formula>"TẠM HOÃN"</formula>
    </cfRule>
    <cfRule type="cellIs" dxfId="8" priority="11" operator="equal">
      <formula>"CHƯA LÀM"</formula>
    </cfRule>
    <cfRule type="cellIs" dxfId="7" priority="12" operator="equal">
      <formula>"PASS LỊCH SỬ"</formula>
    </cfRule>
    <cfRule type="cellIs" dxfId="6" priority="13" operator="equal">
      <formula>"TÌM THẤY / CHỜ CHẠY LẠI"</formula>
    </cfRule>
  </conditionalFormatting>
  <dataValidations count="1">
    <dataValidation type="list" sqref="E9:E204" xr:uid="{00000000-0002-0000-1200-000000000000}">
      <formula1>"PASS,PASS LỊCH SỬ,CHỜ CHẠY,BỊ CHẶN,FAIL"</formula1>
    </dataValidation>
  </dataValidations>
  <hyperlinks>
    <hyperlink ref="G1" location="'01_Muc_luc'!A1" display="← Mục lục" xr:uid="{16BD58D1-2720-4A39-A06F-B1707715A117}"/>
  </hyperlinks>
  <pageMargins left="0.30555555555555558" right="0.30555555555555558" top="0.30555555555555558" bottom="0.30555555555555558" header="0.3" footer="0.3"/>
  <pageSetup paperSize="8" orientation="landscape"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EBDB2"/>
    <pageSetUpPr fitToPage="1"/>
  </sheetPr>
  <dimension ref="A1:D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8.69921875" customWidth="1"/>
    <col min="3" max="4" width="62.5" customWidth="1"/>
  </cols>
  <sheetData>
    <row r="1" spans="1:4" ht="24" customHeight="1">
      <c r="A1" s="1"/>
      <c r="B1" s="1"/>
      <c r="C1" s="1"/>
      <c r="D1" s="10" t="s">
        <v>572</v>
      </c>
    </row>
    <row r="2" spans="1:4" ht="24" customHeight="1">
      <c r="A2" s="1"/>
      <c r="B2" s="16" t="s">
        <v>466</v>
      </c>
      <c r="C2" s="16"/>
      <c r="D2" s="16"/>
    </row>
    <row r="3" spans="1:4" ht="24" customHeight="1">
      <c r="A3" s="1"/>
      <c r="B3" s="1"/>
      <c r="C3" s="1"/>
      <c r="D3" s="1"/>
    </row>
    <row r="4" spans="1:4" ht="39" customHeight="1">
      <c r="A4" s="1"/>
      <c r="B4" s="17" t="s">
        <v>65</v>
      </c>
      <c r="C4" s="17"/>
      <c r="D4" s="17"/>
    </row>
    <row r="5" spans="1:4" ht="30" customHeight="1">
      <c r="A5" s="1"/>
      <c r="B5" s="11" t="s">
        <v>511</v>
      </c>
      <c r="C5" s="11"/>
      <c r="D5" s="11"/>
    </row>
    <row r="6" spans="1:4" ht="10.050000000000001" customHeight="1">
      <c r="A6" s="1"/>
      <c r="B6" s="2"/>
      <c r="C6" s="2"/>
      <c r="D6" s="2"/>
    </row>
    <row r="7" spans="1:4" ht="12" customHeight="1">
      <c r="A7" s="1"/>
      <c r="B7" s="1"/>
      <c r="C7" s="1"/>
      <c r="D7" s="1"/>
    </row>
    <row r="8" spans="1:4" ht="31.05" customHeight="1">
      <c r="A8" s="1"/>
      <c r="B8" s="3" t="s">
        <v>468</v>
      </c>
      <c r="C8" s="3" t="s">
        <v>512</v>
      </c>
      <c r="D8" s="3" t="s">
        <v>513</v>
      </c>
    </row>
    <row r="9" spans="1:4" ht="36" customHeight="1">
      <c r="A9" s="1"/>
      <c r="B9" s="2" t="s">
        <v>472</v>
      </c>
      <c r="C9" s="2" t="s">
        <v>514</v>
      </c>
      <c r="D9" s="2" t="s">
        <v>515</v>
      </c>
    </row>
    <row r="10" spans="1:4" ht="36" customHeight="1">
      <c r="A10" s="1"/>
      <c r="B10" s="2" t="s">
        <v>476</v>
      </c>
      <c r="C10" s="2" t="s">
        <v>516</v>
      </c>
      <c r="D10" s="2" t="s">
        <v>517</v>
      </c>
    </row>
    <row r="11" spans="1:4" ht="36" customHeight="1">
      <c r="A11" s="1"/>
      <c r="B11" s="2" t="s">
        <v>480</v>
      </c>
      <c r="C11" s="2" t="s">
        <v>518</v>
      </c>
      <c r="D11" s="2" t="s">
        <v>519</v>
      </c>
    </row>
    <row r="12" spans="1:4" ht="36" customHeight="1">
      <c r="A12" s="1"/>
      <c r="B12" s="2" t="s">
        <v>482</v>
      </c>
      <c r="C12" s="2" t="s">
        <v>520</v>
      </c>
      <c r="D12" s="2" t="s">
        <v>521</v>
      </c>
    </row>
    <row r="13" spans="1:4" ht="36" customHeight="1">
      <c r="A13" s="1"/>
      <c r="B13" s="2" t="s">
        <v>485</v>
      </c>
      <c r="C13" s="2" t="s">
        <v>522</v>
      </c>
      <c r="D13" s="2" t="s">
        <v>523</v>
      </c>
    </row>
    <row r="14" spans="1:4" ht="36" customHeight="1">
      <c r="A14" s="1"/>
      <c r="B14" s="2" t="s">
        <v>487</v>
      </c>
      <c r="C14" s="2" t="s">
        <v>524</v>
      </c>
      <c r="D14" s="2" t="s">
        <v>525</v>
      </c>
    </row>
    <row r="15" spans="1:4" ht="36" customHeight="1">
      <c r="A15" s="1"/>
      <c r="B15" s="2" t="s">
        <v>490</v>
      </c>
      <c r="C15" s="2" t="s">
        <v>526</v>
      </c>
      <c r="D15" s="2" t="s">
        <v>527</v>
      </c>
    </row>
    <row r="16" spans="1:4" ht="36" customHeight="1">
      <c r="A16" s="1"/>
      <c r="B16" s="2" t="s">
        <v>493</v>
      </c>
      <c r="C16" s="2" t="s">
        <v>528</v>
      </c>
      <c r="D16" s="2" t="s">
        <v>529</v>
      </c>
    </row>
    <row r="17" spans="1:4" ht="36" customHeight="1">
      <c r="A17" s="1"/>
      <c r="B17" s="2" t="s">
        <v>495</v>
      </c>
      <c r="C17" s="2" t="s">
        <v>530</v>
      </c>
      <c r="D17" s="2" t="s">
        <v>531</v>
      </c>
    </row>
    <row r="18" spans="1:4" ht="36" customHeight="1">
      <c r="A18" s="1"/>
      <c r="B18" s="2" t="s">
        <v>498</v>
      </c>
      <c r="C18" s="2" t="s">
        <v>532</v>
      </c>
      <c r="D18" s="2" t="s">
        <v>533</v>
      </c>
    </row>
    <row r="19" spans="1:4" ht="36" customHeight="1">
      <c r="A19" s="1"/>
      <c r="B19" s="2" t="s">
        <v>500</v>
      </c>
      <c r="C19" s="2" t="s">
        <v>534</v>
      </c>
      <c r="D19" s="2" t="s">
        <v>535</v>
      </c>
    </row>
    <row r="20" spans="1:4" ht="36" customHeight="1">
      <c r="A20" s="1"/>
      <c r="B20" s="2" t="s">
        <v>503</v>
      </c>
      <c r="C20" s="2" t="s">
        <v>536</v>
      </c>
      <c r="D20" s="2" t="s">
        <v>537</v>
      </c>
    </row>
    <row r="21" spans="1:4" ht="36" customHeight="1">
      <c r="A21" s="1"/>
      <c r="B21" s="2" t="s">
        <v>505</v>
      </c>
      <c r="C21" s="2" t="s">
        <v>536</v>
      </c>
      <c r="D21" s="2" t="s">
        <v>537</v>
      </c>
    </row>
    <row r="22" spans="1:4" ht="36" customHeight="1">
      <c r="A22" s="1"/>
      <c r="B22" s="2" t="s">
        <v>507</v>
      </c>
      <c r="C22" s="2" t="s">
        <v>538</v>
      </c>
      <c r="D22" s="2" t="s">
        <v>539</v>
      </c>
    </row>
    <row r="23" spans="1:4" ht="36" customHeight="1">
      <c r="A23" s="1"/>
      <c r="B23" s="2" t="s">
        <v>509</v>
      </c>
      <c r="C23" s="2" t="s">
        <v>540</v>
      </c>
      <c r="D23" s="2" t="s">
        <v>541</v>
      </c>
    </row>
    <row r="24" spans="1:4" ht="24" customHeight="1">
      <c r="A24" s="1"/>
      <c r="B24" s="1"/>
      <c r="C24" s="1"/>
      <c r="D24" s="1"/>
    </row>
    <row r="25" spans="1:4" ht="24" customHeight="1">
      <c r="A25" s="1"/>
      <c r="B25" s="1"/>
      <c r="C25" s="1"/>
      <c r="D25" s="1"/>
    </row>
    <row r="26" spans="1:4" ht="24" customHeight="1">
      <c r="A26" s="1"/>
      <c r="B26" s="1"/>
      <c r="C26" s="1"/>
      <c r="D26" s="1"/>
    </row>
    <row r="27" spans="1:4" ht="24" customHeight="1">
      <c r="A27" s="1"/>
      <c r="B27" s="1"/>
      <c r="C27" s="1"/>
      <c r="D27" s="1"/>
    </row>
    <row r="28" spans="1:4" ht="24" customHeight="1">
      <c r="A28" s="1"/>
      <c r="B28" s="1"/>
      <c r="C28" s="1"/>
      <c r="D28" s="1"/>
    </row>
    <row r="29" spans="1:4" ht="24" customHeight="1">
      <c r="A29" s="1"/>
      <c r="B29" s="1"/>
      <c r="C29" s="1"/>
      <c r="D29" s="1"/>
    </row>
    <row r="30" spans="1:4" ht="24" customHeight="1">
      <c r="A30" s="1"/>
      <c r="B30" s="1"/>
      <c r="C30" s="1"/>
      <c r="D30" s="1"/>
    </row>
    <row r="31" spans="1:4" ht="24" customHeight="1">
      <c r="A31" s="1"/>
      <c r="B31" s="1"/>
      <c r="C31" s="1"/>
      <c r="D31" s="1"/>
    </row>
    <row r="32" spans="1:4" ht="24" customHeight="1">
      <c r="A32" s="1"/>
      <c r="B32" s="1"/>
      <c r="C32" s="1"/>
      <c r="D32" s="1"/>
    </row>
    <row r="33" spans="1:4" ht="24" customHeight="1">
      <c r="A33" s="1"/>
      <c r="B33" s="1"/>
      <c r="C33" s="1"/>
      <c r="D33" s="1"/>
    </row>
    <row r="34" spans="1:4" ht="24" customHeight="1">
      <c r="A34" s="1"/>
      <c r="B34" s="1"/>
      <c r="C34" s="1"/>
      <c r="D34" s="1"/>
    </row>
    <row r="35" spans="1:4" ht="24" customHeight="1">
      <c r="A35" s="1"/>
      <c r="B35" s="1"/>
      <c r="C35" s="1"/>
      <c r="D35" s="1"/>
    </row>
    <row r="36" spans="1:4" ht="24" customHeight="1">
      <c r="A36" s="1"/>
      <c r="B36" s="1"/>
      <c r="C36" s="1"/>
      <c r="D36" s="1"/>
    </row>
    <row r="37" spans="1:4" ht="24" customHeight="1">
      <c r="A37" s="1"/>
      <c r="B37" s="1"/>
      <c r="C37" s="1"/>
      <c r="D37" s="1"/>
    </row>
    <row r="38" spans="1:4" ht="24" customHeight="1">
      <c r="A38" s="1"/>
      <c r="B38" s="1"/>
      <c r="C38" s="1"/>
      <c r="D38" s="1"/>
    </row>
    <row r="39" spans="1:4" ht="24" customHeight="1">
      <c r="A39" s="1"/>
      <c r="B39" s="1"/>
      <c r="C39" s="1"/>
      <c r="D39" s="1"/>
    </row>
    <row r="40" spans="1:4" ht="24" customHeight="1">
      <c r="A40" s="1"/>
      <c r="B40" s="1"/>
      <c r="C40" s="1"/>
      <c r="D40" s="1"/>
    </row>
    <row r="41" spans="1:4" ht="24" customHeight="1">
      <c r="A41" s="1"/>
      <c r="B41" s="1"/>
      <c r="C41" s="1"/>
      <c r="D41" s="1"/>
    </row>
    <row r="42" spans="1:4" ht="24" customHeight="1">
      <c r="A42" s="1"/>
      <c r="B42" s="1"/>
      <c r="C42" s="1"/>
      <c r="D42" s="1"/>
    </row>
    <row r="43" spans="1:4" ht="24" customHeight="1">
      <c r="A43" s="1"/>
      <c r="B43" s="1"/>
      <c r="C43" s="1"/>
      <c r="D43" s="1"/>
    </row>
    <row r="44" spans="1:4" ht="24" customHeight="1">
      <c r="A44" s="1"/>
      <c r="B44" s="1"/>
      <c r="C44" s="1"/>
      <c r="D44" s="1"/>
    </row>
    <row r="45" spans="1:4" ht="24" customHeight="1">
      <c r="A45" s="1"/>
      <c r="B45" s="1"/>
      <c r="C45" s="1"/>
      <c r="D45" s="1"/>
    </row>
    <row r="46" spans="1:4" ht="24" customHeight="1">
      <c r="A46" s="1"/>
      <c r="B46" s="1"/>
      <c r="C46" s="1"/>
      <c r="D46" s="1"/>
    </row>
    <row r="47" spans="1:4" ht="24" customHeight="1">
      <c r="A47" s="1"/>
      <c r="B47" s="1"/>
      <c r="C47" s="1"/>
      <c r="D47" s="1"/>
    </row>
    <row r="48" spans="1:4" ht="24" customHeight="1">
      <c r="A48" s="1"/>
      <c r="B48" s="1"/>
      <c r="C48" s="1"/>
      <c r="D48" s="1"/>
    </row>
    <row r="49" spans="1:4" ht="24" customHeight="1">
      <c r="A49" s="1"/>
      <c r="B49" s="1"/>
      <c r="C49" s="1"/>
      <c r="D49" s="1"/>
    </row>
    <row r="50" spans="1:4" ht="24" customHeight="1">
      <c r="A50" s="1"/>
      <c r="B50" s="1"/>
      <c r="C50" s="1"/>
      <c r="D50" s="1"/>
    </row>
    <row r="51" spans="1:4" ht="24" customHeight="1">
      <c r="A51" s="1"/>
      <c r="B51" s="1"/>
      <c r="C51" s="1"/>
      <c r="D51" s="1"/>
    </row>
    <row r="52" spans="1:4" ht="24" customHeight="1">
      <c r="A52" s="1"/>
      <c r="B52" s="1"/>
      <c r="C52" s="1"/>
      <c r="D52" s="1"/>
    </row>
    <row r="53" spans="1:4" ht="24" customHeight="1">
      <c r="A53" s="1"/>
      <c r="B53" s="1"/>
      <c r="C53" s="1"/>
      <c r="D53" s="1"/>
    </row>
    <row r="54" spans="1:4" ht="24" customHeight="1">
      <c r="A54" s="1"/>
      <c r="B54" s="1"/>
      <c r="C54" s="1"/>
      <c r="D54" s="1"/>
    </row>
    <row r="55" spans="1:4" ht="24" customHeight="1">
      <c r="A55" s="1"/>
      <c r="B55" s="1"/>
      <c r="C55" s="1"/>
      <c r="D55" s="1"/>
    </row>
  </sheetData>
  <mergeCells count="3">
    <mergeCell ref="B2:D2"/>
    <mergeCell ref="B4:D4"/>
    <mergeCell ref="B5:D5"/>
  </mergeCells>
  <hyperlinks>
    <hyperlink ref="D1" location="'01_Muc_luc'!A1" display="← Mục lục" xr:uid="{83442A37-6C13-437D-AF14-15941835DB82}"/>
  </hyperlinks>
  <pageMargins left="0.30555555555555558" right="0.30555555555555558" top="0.30555555555555558" bottom="0.30555555555555558" header="0.3" footer="0.3"/>
  <pageSetup paperSize="8" scale="94" orientation="landscape"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EBDB2"/>
    <pageSetUpPr fitToPage="1"/>
  </sheetPr>
  <dimension ref="A1:D55"/>
  <sheetViews>
    <sheetView showGridLines="0" showRowColHeaders="0" zoomScaleNormal="100" workbookViewId="0"/>
  </sheetViews>
  <sheetFormatPr defaultRowHeight="13.8"/>
  <cols>
    <col min="1" max="1" width="3.5" customWidth="1"/>
    <col min="2" max="2" width="6.8984375" customWidth="1"/>
    <col min="3" max="3" width="45" customWidth="1"/>
    <col min="4" max="4" width="81.8984375" customWidth="1"/>
  </cols>
  <sheetData>
    <row r="1" spans="1:4" ht="24" customHeight="1">
      <c r="A1" s="1"/>
      <c r="B1" s="1"/>
      <c r="C1" s="1"/>
      <c r="D1" s="10" t="s">
        <v>572</v>
      </c>
    </row>
    <row r="2" spans="1:4" ht="24" customHeight="1">
      <c r="A2" s="1"/>
      <c r="B2" s="16" t="s">
        <v>542</v>
      </c>
      <c r="C2" s="16"/>
      <c r="D2" s="16"/>
    </row>
    <row r="3" spans="1:4" ht="24" customHeight="1">
      <c r="A3" s="1"/>
      <c r="B3" s="1"/>
      <c r="C3" s="1"/>
      <c r="D3" s="1"/>
    </row>
    <row r="4" spans="1:4" ht="39" customHeight="1">
      <c r="A4" s="1"/>
      <c r="B4" s="17" t="s">
        <v>55</v>
      </c>
      <c r="C4" s="17"/>
      <c r="D4" s="17"/>
    </row>
    <row r="5" spans="1:4" ht="30" customHeight="1">
      <c r="A5" s="1"/>
      <c r="B5" s="11" t="s">
        <v>543</v>
      </c>
      <c r="C5" s="11"/>
      <c r="D5" s="11"/>
    </row>
    <row r="6" spans="1:4" ht="10.050000000000001" customHeight="1">
      <c r="A6" s="1"/>
      <c r="B6" s="2"/>
      <c r="C6" s="2"/>
      <c r="D6" s="2"/>
    </row>
    <row r="7" spans="1:4" ht="12" customHeight="1">
      <c r="A7" s="1"/>
      <c r="B7" s="1"/>
      <c r="C7" s="1"/>
      <c r="D7" s="1"/>
    </row>
    <row r="8" spans="1:4" ht="31.05" customHeight="1">
      <c r="A8" s="1"/>
      <c r="B8" s="3" t="s">
        <v>235</v>
      </c>
      <c r="C8" s="3" t="s">
        <v>544</v>
      </c>
      <c r="D8" s="3" t="s">
        <v>545</v>
      </c>
    </row>
    <row r="9" spans="1:4" ht="64.95" customHeight="1">
      <c r="A9" s="1"/>
      <c r="B9" s="7">
        <v>1</v>
      </c>
      <c r="C9" s="2" t="s">
        <v>546</v>
      </c>
      <c r="D9" s="2" t="s">
        <v>547</v>
      </c>
    </row>
    <row r="10" spans="1:4" ht="64.95" customHeight="1">
      <c r="A10" s="1"/>
      <c r="B10" s="7">
        <v>2</v>
      </c>
      <c r="C10" s="2" t="s">
        <v>548</v>
      </c>
      <c r="D10" s="2" t="s">
        <v>549</v>
      </c>
    </row>
    <row r="11" spans="1:4" ht="64.95" customHeight="1">
      <c r="A11" s="1"/>
      <c r="B11" s="7">
        <v>3</v>
      </c>
      <c r="C11" s="2" t="s">
        <v>550</v>
      </c>
      <c r="D11" s="2" t="s">
        <v>551</v>
      </c>
    </row>
    <row r="12" spans="1:4" ht="64.95" customHeight="1">
      <c r="A12" s="1"/>
      <c r="B12" s="7">
        <v>4</v>
      </c>
      <c r="C12" s="2" t="s">
        <v>552</v>
      </c>
      <c r="D12" s="2" t="s">
        <v>574</v>
      </c>
    </row>
    <row r="13" spans="1:4" ht="64.95" customHeight="1">
      <c r="A13" s="1"/>
      <c r="B13" s="7">
        <v>5</v>
      </c>
      <c r="C13" s="2" t="s">
        <v>553</v>
      </c>
      <c r="D13" s="2" t="s">
        <v>554</v>
      </c>
    </row>
    <row r="14" spans="1:4" ht="24" customHeight="1">
      <c r="A14" s="1"/>
      <c r="B14" s="8"/>
      <c r="C14" s="1"/>
      <c r="D14" s="1"/>
    </row>
    <row r="15" spans="1:4" ht="24" customHeight="1">
      <c r="A15" s="1"/>
      <c r="B15" s="8"/>
      <c r="C15" s="1"/>
      <c r="D15" s="1"/>
    </row>
    <row r="16" spans="1:4" ht="24" customHeight="1">
      <c r="A16" s="1"/>
      <c r="B16" s="8"/>
      <c r="C16" s="1"/>
      <c r="D16" s="1"/>
    </row>
    <row r="17" spans="1:4" ht="24" customHeight="1">
      <c r="A17" s="1"/>
      <c r="B17" s="32" t="s">
        <v>555</v>
      </c>
      <c r="C17" s="20"/>
      <c r="D17" s="20"/>
    </row>
    <row r="18" spans="1:4" ht="24" customHeight="1">
      <c r="A18" s="1"/>
      <c r="B18" s="8"/>
      <c r="C18" s="1"/>
      <c r="D18" s="1"/>
    </row>
    <row r="19" spans="1:4" ht="24" customHeight="1">
      <c r="A19" s="1"/>
      <c r="B19" s="33" t="s">
        <v>556</v>
      </c>
      <c r="C19" s="27"/>
      <c r="D19" s="27"/>
    </row>
    <row r="20" spans="1:4" ht="24" customHeight="1">
      <c r="A20" s="1"/>
      <c r="B20" s="33"/>
      <c r="C20" s="27"/>
      <c r="D20" s="27"/>
    </row>
    <row r="21" spans="1:4" ht="24" customHeight="1">
      <c r="A21" s="1"/>
      <c r="B21" s="33"/>
      <c r="C21" s="27"/>
      <c r="D21" s="27"/>
    </row>
    <row r="22" spans="1:4" ht="24" customHeight="1">
      <c r="A22" s="1"/>
      <c r="B22" s="8"/>
      <c r="C22" s="1"/>
      <c r="D22" s="1"/>
    </row>
    <row r="23" spans="1:4" ht="24" customHeight="1">
      <c r="A23" s="1"/>
      <c r="B23" s="8"/>
      <c r="C23" s="1"/>
      <c r="D23" s="1"/>
    </row>
    <row r="24" spans="1:4" ht="24" customHeight="1">
      <c r="A24" s="1"/>
      <c r="B24" s="8"/>
      <c r="C24" s="1"/>
      <c r="D24" s="1"/>
    </row>
    <row r="25" spans="1:4" ht="24" customHeight="1">
      <c r="A25" s="1"/>
      <c r="B25" s="8"/>
      <c r="C25" s="1"/>
      <c r="D25" s="1"/>
    </row>
    <row r="26" spans="1:4" ht="24" customHeight="1">
      <c r="A26" s="1"/>
      <c r="B26" s="8"/>
      <c r="C26" s="1"/>
      <c r="D26" s="1"/>
    </row>
    <row r="27" spans="1:4" ht="24" customHeight="1">
      <c r="A27" s="1"/>
      <c r="B27" s="8"/>
      <c r="C27" s="1"/>
      <c r="D27" s="1"/>
    </row>
    <row r="28" spans="1:4" ht="24" customHeight="1">
      <c r="A28" s="1"/>
      <c r="B28" s="8"/>
      <c r="C28" s="1"/>
      <c r="D28" s="1"/>
    </row>
    <row r="29" spans="1:4" ht="24" customHeight="1">
      <c r="A29" s="1"/>
      <c r="B29" s="8"/>
      <c r="C29" s="1"/>
      <c r="D29" s="1"/>
    </row>
    <row r="30" spans="1:4" ht="24" customHeight="1">
      <c r="A30" s="1"/>
      <c r="B30" s="8"/>
      <c r="C30" s="1"/>
      <c r="D30" s="1"/>
    </row>
    <row r="31" spans="1:4" ht="24" customHeight="1">
      <c r="A31" s="1"/>
      <c r="B31" s="1"/>
      <c r="C31" s="1"/>
      <c r="D31" s="1"/>
    </row>
    <row r="32" spans="1:4" ht="24" customHeight="1">
      <c r="A32" s="1"/>
      <c r="B32" s="1"/>
      <c r="C32" s="1"/>
      <c r="D32" s="1"/>
    </row>
    <row r="33" spans="1:4" ht="24" customHeight="1">
      <c r="A33" s="1"/>
      <c r="B33" s="1"/>
      <c r="C33" s="1"/>
      <c r="D33" s="1"/>
    </row>
    <row r="34" spans="1:4" ht="24" customHeight="1">
      <c r="A34" s="1"/>
      <c r="B34" s="1"/>
      <c r="C34" s="1"/>
      <c r="D34" s="1"/>
    </row>
    <row r="35" spans="1:4" ht="24" customHeight="1">
      <c r="A35" s="1"/>
      <c r="B35" s="1"/>
      <c r="C35" s="1"/>
      <c r="D35" s="1"/>
    </row>
    <row r="36" spans="1:4" ht="24" customHeight="1">
      <c r="A36" s="1"/>
      <c r="B36" s="1"/>
      <c r="C36" s="1"/>
      <c r="D36" s="1"/>
    </row>
    <row r="37" spans="1:4" ht="24" customHeight="1">
      <c r="A37" s="1"/>
      <c r="B37" s="1"/>
      <c r="C37" s="1"/>
      <c r="D37" s="1"/>
    </row>
    <row r="38" spans="1:4" ht="24" customHeight="1">
      <c r="A38" s="1"/>
      <c r="B38" s="1"/>
      <c r="C38" s="1"/>
      <c r="D38" s="1"/>
    </row>
    <row r="39" spans="1:4" ht="24" customHeight="1">
      <c r="A39" s="1"/>
      <c r="B39" s="1"/>
      <c r="C39" s="1"/>
      <c r="D39" s="1"/>
    </row>
    <row r="40" spans="1:4" ht="24" customHeight="1">
      <c r="A40" s="1"/>
      <c r="B40" s="1"/>
      <c r="C40" s="1"/>
      <c r="D40" s="1"/>
    </row>
    <row r="41" spans="1:4" ht="24" customHeight="1">
      <c r="A41" s="1"/>
      <c r="B41" s="1"/>
      <c r="C41" s="1"/>
      <c r="D41" s="1"/>
    </row>
    <row r="42" spans="1:4" ht="24" customHeight="1">
      <c r="A42" s="1"/>
      <c r="B42" s="1"/>
      <c r="C42" s="1"/>
      <c r="D42" s="1"/>
    </row>
    <row r="43" spans="1:4" ht="24" customHeight="1">
      <c r="A43" s="1"/>
      <c r="B43" s="1"/>
      <c r="C43" s="1"/>
      <c r="D43" s="1"/>
    </row>
    <row r="44" spans="1:4" ht="24" customHeight="1">
      <c r="A44" s="1"/>
      <c r="B44" s="1"/>
      <c r="C44" s="1"/>
      <c r="D44" s="1"/>
    </row>
    <row r="45" spans="1:4" ht="24" customHeight="1">
      <c r="A45" s="1"/>
      <c r="B45" s="1"/>
      <c r="C45" s="1"/>
      <c r="D45" s="1"/>
    </row>
    <row r="46" spans="1:4" ht="24" customHeight="1">
      <c r="A46" s="1"/>
      <c r="B46" s="1"/>
      <c r="C46" s="1"/>
      <c r="D46" s="1"/>
    </row>
    <row r="47" spans="1:4" ht="24" customHeight="1">
      <c r="A47" s="1"/>
      <c r="B47" s="1"/>
      <c r="C47" s="1"/>
      <c r="D47" s="1"/>
    </row>
    <row r="48" spans="1:4" ht="24" customHeight="1">
      <c r="A48" s="1"/>
      <c r="B48" s="1"/>
      <c r="C48" s="1"/>
      <c r="D48" s="1"/>
    </row>
    <row r="49" spans="1:4" ht="24" customHeight="1">
      <c r="A49" s="1"/>
      <c r="B49" s="1"/>
      <c r="C49" s="1"/>
      <c r="D49" s="1"/>
    </row>
    <row r="50" spans="1:4" ht="24" customHeight="1">
      <c r="A50" s="1"/>
      <c r="B50" s="1"/>
      <c r="C50" s="1"/>
      <c r="D50" s="1"/>
    </row>
    <row r="51" spans="1:4" ht="24" customHeight="1">
      <c r="A51" s="1"/>
      <c r="B51" s="1"/>
      <c r="C51" s="1"/>
      <c r="D51" s="1"/>
    </row>
    <row r="52" spans="1:4" ht="24" customHeight="1">
      <c r="A52" s="1"/>
      <c r="B52" s="1"/>
      <c r="C52" s="1"/>
      <c r="D52" s="1"/>
    </row>
    <row r="53" spans="1:4" ht="24" customHeight="1">
      <c r="A53" s="1"/>
      <c r="B53" s="1"/>
      <c r="C53" s="1"/>
      <c r="D53" s="1"/>
    </row>
    <row r="54" spans="1:4" ht="24" customHeight="1">
      <c r="A54" s="1"/>
      <c r="B54" s="1"/>
      <c r="C54" s="1"/>
      <c r="D54" s="1"/>
    </row>
    <row r="55" spans="1:4" ht="24" customHeight="1">
      <c r="A55" s="1"/>
      <c r="B55" s="1"/>
      <c r="C55" s="1"/>
      <c r="D55" s="1"/>
    </row>
  </sheetData>
  <mergeCells count="5">
    <mergeCell ref="B2:D2"/>
    <mergeCell ref="B4:D4"/>
    <mergeCell ref="B5:D5"/>
    <mergeCell ref="B17:D17"/>
    <mergeCell ref="B19:D21"/>
  </mergeCells>
  <hyperlinks>
    <hyperlink ref="D1" location="'01_Muc_luc'!A1" display="← Mục lục" xr:uid="{57CF1C9B-33D7-448E-A4D2-E7C54B5C0979}"/>
  </hyperlinks>
  <pageMargins left="0.30555555555555558" right="0.30555555555555558" top="0.30555555555555558" bottom="0.30555555555555558" header="0.3" footer="0.3"/>
  <pageSetup paperSize="8"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EBDB2"/>
    <pageSetUpPr fitToPage="1"/>
  </sheetPr>
  <dimension ref="A1:C55"/>
  <sheetViews>
    <sheetView showGridLines="0" showRowColHeaders="0" zoomScaleNormal="100" workbookViewId="0">
      <pane xSplit="2" ySplit="8" topLeftCell="C9" activePane="bottomRight" state="frozen"/>
      <selection pane="topRight"/>
      <selection pane="bottomLeft"/>
      <selection pane="bottomRight"/>
    </sheetView>
  </sheetViews>
  <sheetFormatPr defaultRowHeight="13.8"/>
  <cols>
    <col min="1" max="1" width="3.5" customWidth="1"/>
    <col min="2" max="2" width="29.3984375" customWidth="1"/>
    <col min="3" max="3" width="104.3984375" customWidth="1"/>
  </cols>
  <sheetData>
    <row r="1" spans="1:3" ht="24" customHeight="1">
      <c r="A1" s="1"/>
      <c r="B1" s="1"/>
      <c r="C1" s="10" t="s">
        <v>572</v>
      </c>
    </row>
    <row r="2" spans="1:3" ht="24" customHeight="1">
      <c r="A2" s="1"/>
      <c r="B2" s="16" t="s">
        <v>542</v>
      </c>
      <c r="C2" s="16"/>
    </row>
    <row r="3" spans="1:3" ht="24" customHeight="1">
      <c r="A3" s="1"/>
      <c r="B3" s="1"/>
      <c r="C3" s="1"/>
    </row>
    <row r="4" spans="1:3" ht="39" customHeight="1">
      <c r="A4" s="1"/>
      <c r="B4" s="17" t="s">
        <v>59</v>
      </c>
      <c r="C4" s="17"/>
    </row>
    <row r="5" spans="1:3" ht="30" customHeight="1">
      <c r="A5" s="1"/>
      <c r="B5" s="11" t="s">
        <v>557</v>
      </c>
      <c r="C5" s="11"/>
    </row>
    <row r="6" spans="1:3" ht="10.050000000000001" customHeight="1">
      <c r="A6" s="1"/>
      <c r="B6" s="2"/>
      <c r="C6" s="2"/>
    </row>
    <row r="7" spans="1:3" ht="12" customHeight="1">
      <c r="A7" s="1"/>
      <c r="B7" s="1"/>
      <c r="C7" s="1"/>
    </row>
    <row r="8" spans="1:3" ht="31.05" customHeight="1">
      <c r="A8" s="1"/>
      <c r="B8" s="3" t="s">
        <v>309</v>
      </c>
      <c r="C8" s="3" t="s">
        <v>310</v>
      </c>
    </row>
    <row r="9" spans="1:3" ht="36" customHeight="1">
      <c r="A9" s="1"/>
      <c r="B9" s="2" t="s">
        <v>69</v>
      </c>
      <c r="C9" s="2" t="s">
        <v>558</v>
      </c>
    </row>
    <row r="10" spans="1:3" ht="36" customHeight="1">
      <c r="A10" s="1"/>
      <c r="B10" s="2" t="s">
        <v>559</v>
      </c>
      <c r="C10" s="2" t="s">
        <v>560</v>
      </c>
    </row>
    <row r="11" spans="1:3" ht="36" customHeight="1">
      <c r="A11" s="1"/>
      <c r="B11" s="2" t="s">
        <v>561</v>
      </c>
      <c r="C11" s="2" t="s">
        <v>562</v>
      </c>
    </row>
    <row r="12" spans="1:3" ht="36" customHeight="1">
      <c r="A12" s="1"/>
      <c r="B12" s="2" t="s">
        <v>563</v>
      </c>
      <c r="C12" s="2" t="s">
        <v>564</v>
      </c>
    </row>
    <row r="13" spans="1:3" ht="36" customHeight="1">
      <c r="A13" s="1"/>
      <c r="B13" s="2" t="s">
        <v>565</v>
      </c>
      <c r="C13" s="2" t="s">
        <v>566</v>
      </c>
    </row>
    <row r="14" spans="1:3" ht="36" customHeight="1">
      <c r="A14" s="1"/>
      <c r="B14" s="2" t="s">
        <v>567</v>
      </c>
      <c r="C14" s="2" t="s">
        <v>568</v>
      </c>
    </row>
    <row r="15" spans="1:3" ht="36" customHeight="1">
      <c r="A15" s="1"/>
      <c r="B15" s="2" t="s">
        <v>113</v>
      </c>
      <c r="C15" s="2" t="s">
        <v>569</v>
      </c>
    </row>
    <row r="16" spans="1:3" ht="36" customHeight="1">
      <c r="A16" s="1"/>
      <c r="B16" s="2" t="s">
        <v>570</v>
      </c>
      <c r="C16" s="2" t="s">
        <v>571</v>
      </c>
    </row>
    <row r="17" spans="1:3" ht="24" customHeight="1">
      <c r="A17" s="1"/>
      <c r="B17" s="1"/>
      <c r="C17" s="1"/>
    </row>
    <row r="18" spans="1:3" ht="24" customHeight="1">
      <c r="A18" s="1"/>
      <c r="B18" s="1"/>
      <c r="C18" s="1"/>
    </row>
    <row r="19" spans="1:3" ht="24" customHeight="1">
      <c r="A19" s="1"/>
      <c r="B19" s="1"/>
      <c r="C19" s="1"/>
    </row>
    <row r="20" spans="1:3" ht="24" customHeight="1">
      <c r="A20" s="1"/>
      <c r="B20" s="1"/>
      <c r="C20" s="1"/>
    </row>
    <row r="21" spans="1:3" ht="24" customHeight="1">
      <c r="A21" s="1"/>
      <c r="B21" s="1"/>
      <c r="C21" s="1"/>
    </row>
    <row r="22" spans="1:3" ht="24" customHeight="1">
      <c r="A22" s="1"/>
      <c r="B22" s="1"/>
      <c r="C22" s="1"/>
    </row>
    <row r="23" spans="1:3" ht="24" customHeight="1">
      <c r="A23" s="1"/>
      <c r="B23" s="1"/>
      <c r="C23" s="1"/>
    </row>
    <row r="24" spans="1:3" ht="24" customHeight="1">
      <c r="A24" s="1"/>
      <c r="B24" s="1"/>
      <c r="C24" s="1"/>
    </row>
    <row r="25" spans="1:3" ht="24" customHeight="1">
      <c r="A25" s="1"/>
      <c r="B25" s="1"/>
      <c r="C25" s="1"/>
    </row>
    <row r="26" spans="1:3" ht="24" customHeight="1">
      <c r="A26" s="1"/>
      <c r="B26" s="1"/>
      <c r="C26" s="1"/>
    </row>
    <row r="27" spans="1:3" ht="24" customHeight="1">
      <c r="A27" s="1"/>
      <c r="B27" s="1"/>
      <c r="C27" s="1"/>
    </row>
    <row r="28" spans="1:3" ht="24" customHeight="1">
      <c r="A28" s="1"/>
      <c r="B28" s="1"/>
      <c r="C28" s="1"/>
    </row>
    <row r="29" spans="1:3" ht="24" customHeight="1">
      <c r="A29" s="1"/>
      <c r="B29" s="1"/>
      <c r="C29" s="1"/>
    </row>
    <row r="30" spans="1:3" ht="24" customHeight="1">
      <c r="A30" s="1"/>
      <c r="B30" s="1"/>
      <c r="C30" s="1"/>
    </row>
    <row r="31" spans="1:3" ht="24" customHeight="1">
      <c r="A31" s="1"/>
      <c r="B31" s="1"/>
      <c r="C31" s="1"/>
    </row>
    <row r="32" spans="1:3" ht="24" customHeight="1">
      <c r="A32" s="1"/>
      <c r="B32" s="1"/>
      <c r="C32" s="1"/>
    </row>
    <row r="33" spans="1:3" ht="24" customHeight="1">
      <c r="A33" s="1"/>
      <c r="B33" s="1"/>
      <c r="C33" s="1"/>
    </row>
    <row r="34" spans="1:3" ht="24" customHeight="1">
      <c r="A34" s="1"/>
      <c r="B34" s="1"/>
      <c r="C34" s="1"/>
    </row>
    <row r="35" spans="1:3" ht="24" customHeight="1">
      <c r="A35" s="1"/>
      <c r="B35" s="1"/>
      <c r="C35" s="1"/>
    </row>
    <row r="36" spans="1:3" ht="24" customHeight="1">
      <c r="A36" s="1"/>
      <c r="B36" s="1"/>
      <c r="C36" s="1"/>
    </row>
    <row r="37" spans="1:3" ht="24" customHeight="1">
      <c r="A37" s="1"/>
      <c r="B37" s="1"/>
      <c r="C37" s="1"/>
    </row>
    <row r="38" spans="1:3" ht="24" customHeight="1">
      <c r="A38" s="1"/>
      <c r="B38" s="1"/>
      <c r="C38" s="1"/>
    </row>
    <row r="39" spans="1:3" ht="24" customHeight="1">
      <c r="A39" s="1"/>
      <c r="B39" s="1"/>
      <c r="C39" s="1"/>
    </row>
    <row r="40" spans="1:3" ht="24" customHeight="1">
      <c r="A40" s="1"/>
      <c r="B40" s="1"/>
      <c r="C40" s="1"/>
    </row>
    <row r="41" spans="1:3" ht="24" customHeight="1">
      <c r="A41" s="1"/>
      <c r="B41" s="1"/>
      <c r="C41" s="1"/>
    </row>
    <row r="42" spans="1:3" ht="24" customHeight="1">
      <c r="A42" s="1"/>
      <c r="B42" s="1"/>
      <c r="C42" s="1"/>
    </row>
    <row r="43" spans="1:3" ht="24" customHeight="1">
      <c r="A43" s="1"/>
      <c r="B43" s="1"/>
      <c r="C43" s="1"/>
    </row>
    <row r="44" spans="1:3" ht="24" customHeight="1">
      <c r="A44" s="1"/>
      <c r="B44" s="1"/>
      <c r="C44" s="1"/>
    </row>
    <row r="45" spans="1:3" ht="24" customHeight="1">
      <c r="A45" s="1"/>
      <c r="B45" s="1"/>
      <c r="C45" s="1"/>
    </row>
    <row r="46" spans="1:3" ht="24" customHeight="1">
      <c r="A46" s="1"/>
      <c r="B46" s="1"/>
      <c r="C46" s="1"/>
    </row>
    <row r="47" spans="1:3" ht="24" customHeight="1">
      <c r="A47" s="1"/>
      <c r="B47" s="1"/>
      <c r="C47" s="1"/>
    </row>
    <row r="48" spans="1:3" ht="24" customHeight="1">
      <c r="A48" s="1"/>
      <c r="B48" s="1"/>
      <c r="C48" s="1"/>
    </row>
    <row r="49" spans="1:3" ht="24" customHeight="1">
      <c r="A49" s="1"/>
      <c r="B49" s="1"/>
      <c r="C49" s="1"/>
    </row>
    <row r="50" spans="1:3" ht="24" customHeight="1">
      <c r="A50" s="1"/>
      <c r="B50" s="1"/>
      <c r="C50" s="1"/>
    </row>
    <row r="51" spans="1:3" ht="24" customHeight="1">
      <c r="A51" s="1"/>
      <c r="B51" s="1"/>
      <c r="C51" s="1"/>
    </row>
    <row r="52" spans="1:3" ht="24" customHeight="1">
      <c r="A52" s="1"/>
      <c r="B52" s="1"/>
      <c r="C52" s="1"/>
    </row>
    <row r="53" spans="1:3" ht="24" customHeight="1">
      <c r="A53" s="1"/>
      <c r="B53" s="1"/>
      <c r="C53" s="1"/>
    </row>
    <row r="54" spans="1:3" ht="24" customHeight="1">
      <c r="A54" s="1"/>
      <c r="B54" s="1"/>
      <c r="C54" s="1"/>
    </row>
    <row r="55" spans="1:3" ht="24" customHeight="1">
      <c r="A55" s="1"/>
      <c r="B55" s="1"/>
      <c r="C55" s="1"/>
    </row>
  </sheetData>
  <mergeCells count="3">
    <mergeCell ref="B2:C2"/>
    <mergeCell ref="B4:C4"/>
    <mergeCell ref="B5:C5"/>
  </mergeCells>
  <hyperlinks>
    <hyperlink ref="C1" location="'01_Muc_luc'!A1" display="← Mục lục" xr:uid="{3E355BA3-0DCB-45E1-B62B-50E051A7AE00}"/>
  </hyperlinks>
  <pageMargins left="0.30555555555555558" right="0.30555555555555558" top="0.30555555555555558" bottom="0.30555555555555558" header="0.3" footer="0.3"/>
  <pageSetup paperSize="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22</vt:i4>
      </vt:variant>
    </vt:vector>
  </HeadingPairs>
  <TitlesOfParts>
    <vt:vector size="44" baseType="lpstr">
      <vt:lpstr>00_Tong_quan</vt:lpstr>
      <vt:lpstr>01_Muc_luc</vt:lpstr>
      <vt:lpstr>02_Cong_viec</vt:lpstr>
      <vt:lpstr>03_Hanh_dong</vt:lpstr>
      <vt:lpstr>04_Nghiem_thu</vt:lpstr>
      <vt:lpstr>05_Blocker</vt:lpstr>
      <vt:lpstr>06_Roadmap</vt:lpstr>
      <vt:lpstr>07_Checklist_P1</vt:lpstr>
      <vt:lpstr>08_San_pham</vt:lpstr>
      <vt:lpstr>09_Luong_hoc</vt:lpstr>
      <vt:lpstr>10_Quy_tac</vt:lpstr>
      <vt:lpstr>11_Da_chot</vt:lpstr>
      <vt:lpstr>12_Gia_thuyet</vt:lpstr>
      <vt:lpstr>13_Baseline_V3_2</vt:lpstr>
      <vt:lpstr>14_Van_de</vt:lpstr>
      <vt:lpstr>15_Xu_ly_van_de</vt:lpstr>
      <vt:lpstr>16_Thay_doi</vt:lpstr>
      <vt:lpstr>17_Ghi_chu</vt:lpstr>
      <vt:lpstr>18_Bang_chung</vt:lpstr>
      <vt:lpstr>19_Pham_vi_test</vt:lpstr>
      <vt:lpstr>20_Cach_lam_viec</vt:lpstr>
      <vt:lpstr>21_Tu_dien</vt:lpstr>
      <vt:lpstr>'00_Tong_quan'!Print_Area</vt:lpstr>
      <vt:lpstr>'01_Muc_luc'!Print_Area</vt:lpstr>
      <vt:lpstr>'02_Cong_viec'!Print_Area</vt:lpstr>
      <vt:lpstr>'03_Hanh_dong'!Print_Area</vt:lpstr>
      <vt:lpstr>'04_Nghiem_thu'!Print_Area</vt:lpstr>
      <vt:lpstr>'05_Blocker'!Print_Area</vt:lpstr>
      <vt:lpstr>'06_Roadmap'!Print_Area</vt:lpstr>
      <vt:lpstr>'07_Checklist_P1'!Print_Area</vt:lpstr>
      <vt:lpstr>'08_San_pham'!Print_Area</vt:lpstr>
      <vt:lpstr>'09_Luong_hoc'!Print_Area</vt:lpstr>
      <vt:lpstr>'10_Quy_tac'!Print_Area</vt:lpstr>
      <vt:lpstr>'11_Da_chot'!Print_Area</vt:lpstr>
      <vt:lpstr>'12_Gia_thuyet'!Print_Area</vt:lpstr>
      <vt:lpstr>'13_Baseline_V3_2'!Print_Area</vt:lpstr>
      <vt:lpstr>'14_Van_de'!Print_Area</vt:lpstr>
      <vt:lpstr>'15_Xu_ly_van_de'!Print_Area</vt:lpstr>
      <vt:lpstr>'16_Thay_doi'!Print_Area</vt:lpstr>
      <vt:lpstr>'17_Ghi_chu'!Print_Area</vt:lpstr>
      <vt:lpstr>'18_Bang_chung'!Print_Area</vt:lpstr>
      <vt:lpstr>'19_Pham_vi_test'!Print_Area</vt:lpstr>
      <vt:lpstr>'20_Cach_lam_viec'!Print_Area</vt:lpstr>
      <vt:lpstr>'21_Tu_dien'!Print_Area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Phúc</cp:lastModifiedBy>
  <dcterms:modified xsi:type="dcterms:W3CDTF">2026-09-27T08:51:48Z</dcterms:modified>
</cp:coreProperties>
</file>